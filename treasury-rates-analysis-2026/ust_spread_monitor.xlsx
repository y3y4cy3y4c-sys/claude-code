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ead Monitor" sheetId="1" state="visible" r:id="rId1"/>
    <sheet name="Macro" sheetId="2" state="visible" r:id="rId2"/>
    <sheet name="Verdict &amp; Guide" sheetId="3" state="visible" r:id="rId3"/>
    <sheet name="Cha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0000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165" fontId="6" fillId="0" borderId="1" pivotButton="0" quotePrefix="0" xfId="0"/>
    <xf numFmtId="2" fontId="6" fillId="0" borderId="1" pivotButton="0" quotePrefix="0" xfId="0"/>
    <xf numFmtId="2" fontId="6" fillId="3" borderId="1" pivotButton="0" quotePrefix="0" xfId="0"/>
    <xf numFmtId="166" fontId="6" fillId="3" borderId="1" pivotButton="0" quotePrefix="0" xfId="0"/>
    <xf numFmtId="0" fontId="6" fillId="0" borderId="1" pivotButton="0" quotePrefix="0" xfId="0"/>
    <xf numFmtId="0" fontId="3" fillId="3" borderId="1" pivotButton="0" quotePrefix="0" xfId="0"/>
    <xf numFmtId="166" fontId="6" fillId="4" borderId="1" pivotButton="0" quotePrefix="0" xfId="0"/>
    <xf numFmtId="166" fontId="6" fillId="0" borderId="1" pivotButton="0" quotePrefix="0" xfId="0"/>
    <xf numFmtId="164" fontId="6" fillId="0" borderId="0" pivotButton="0" quotePrefix="0" xfId="0"/>
    <xf numFmtId="166" fontId="4" fillId="0" borderId="0" pivotButton="0" quotePrefix="0" xfId="0"/>
    <xf numFmtId="165" fontId="6" fillId="0" borderId="0" pivotButton="0" quotePrefix="0" xfId="0"/>
    <xf numFmtId="166" fontId="7" fillId="3" borderId="0" pivotButton="0" quotePrefix="0" xfId="0"/>
    <xf numFmtId="2" fontId="6" fillId="0" borderId="0" pivotButton="0" quotePrefix="0" xfId="0"/>
    <xf numFmtId="0" fontId="3" fillId="5" borderId="0" pivotButton="0" quotePrefix="0" xfId="0"/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5" fillId="2" borderId="1" pivotButton="0" quotePrefix="0" xfId="0"/>
    <xf numFmtId="165" fontId="8" fillId="0" borderId="1" pivotButton="0" quotePrefix="0" xfId="0"/>
    <xf numFmtId="2" fontId="8" fillId="0" borderId="1" pivotButton="0" quotePrefix="0" xfId="0"/>
    <xf numFmtId="166" fontId="8" fillId="0" borderId="1" pivotButton="0" quotePrefix="0" xfId="0"/>
    <xf numFmtId="0" fontId="6" fillId="0" borderId="1" applyAlignment="1" pivotButton="0" quotePrefix="0" xfId="0">
      <alignment vertical="top" wrapText="1"/>
    </xf>
    <xf numFmtId="165" fontId="4" fillId="0" borderId="1" pivotButton="0" quotePrefix="0" xfId="0"/>
    <xf numFmtId="3" fontId="6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5s10s, 5s30s and 2s5s10s fly (bp) — 1Y</a:t>
            </a:r>
          </a:p>
        </rich>
      </tx>
    </title>
    <plotArea>
      <lineChart>
        <grouping val="standard"/>
        <ser>
          <idx val="0"/>
          <order val="0"/>
          <tx>
            <strRef>
              <f>'Spread Monitor'!P28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Monitor'!$A$29:$A$280</f>
            </numRef>
          </cat>
          <val>
            <numRef>
              <f>'Spread Monitor'!$P$29:$P$280</f>
            </numRef>
          </val>
          <smooth val="0"/>
        </ser>
        <ser>
          <idx val="1"/>
          <order val="1"/>
          <tx>
            <strRef>
              <f>'Spread Monitor'!R28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Monitor'!$A$29:$A$280</f>
            </numRef>
          </cat>
          <val>
            <numRef>
              <f>'Spread Monitor'!$R$29:$R$280</f>
            </numRef>
          </val>
          <smooth val="0"/>
        </ser>
        <ser>
          <idx val="2"/>
          <order val="2"/>
          <tx>
            <strRef>
              <f>'Spread Monitor'!AB28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Monitor'!$A$29:$A$280</f>
            </numRef>
          </cat>
          <val>
            <numRef>
              <f>'Spread Monitor'!$AB$29:$AB$280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0"/>
  <sheetViews>
    <sheetView workbookViewId="0">
      <pane xSplit="1" ySplit="28" topLeftCell="B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7.5" customWidth="1" min="2" max="2"/>
    <col width="8" customWidth="1" min="3" max="3"/>
    <col width="7.5" customWidth="1" min="4" max="4"/>
    <col width="8" customWidth="1" min="5" max="5"/>
    <col width="7.5" customWidth="1" min="6" max="6"/>
    <col width="8" customWidth="1" min="7" max="7"/>
    <col width="7.5" customWidth="1" min="8" max="8"/>
    <col width="8" customWidth="1" min="9" max="9"/>
    <col width="7.5" customWidth="1" min="10" max="10"/>
    <col width="8" customWidth="1" min="11" max="11"/>
    <col width="10" customWidth="1" min="12" max="12"/>
    <col width="7" customWidth="1" min="13" max="13"/>
    <col width="10" customWidth="1" min="14" max="14"/>
    <col width="7" customWidth="1" min="15" max="15"/>
    <col width="10" customWidth="1" min="16" max="16"/>
    <col width="7" customWidth="1" min="17" max="17"/>
    <col width="10" customWidth="1" min="18" max="18"/>
    <col width="7" customWidth="1" min="19" max="19"/>
    <col width="10" customWidth="1" min="20" max="20"/>
    <col width="7" customWidth="1" min="21" max="21"/>
    <col width="10" customWidth="1" min="22" max="22"/>
    <col width="7" customWidth="1" min="23" max="23"/>
    <col width="10" customWidth="1" min="24" max="24"/>
    <col width="7" customWidth="1" min="25" max="25"/>
    <col width="10" customWidth="1" min="26" max="26"/>
    <col width="7" customWidth="1" min="27" max="27"/>
    <col width="10" customWidth="1" min="28" max="28"/>
    <col width="7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</cols>
  <sheetData>
    <row r="1">
      <c r="A1" s="1" t="inlineStr">
        <is>
          <t>US Treasury Spread Monitor — 2Y / 3Y / 5Y / 10Y / 30Y</t>
        </is>
      </c>
    </row>
    <row r="2">
      <c r="A2" s="2" t="inlineStr">
        <is>
          <t>Same layout as the KTB template · 1Y rolling window · compiled 2026-08-29</t>
        </is>
      </c>
      <c r="L2" s="3" t="inlineStr">
        <is>
          <t>Percentile guide</t>
        </is>
      </c>
    </row>
    <row r="3">
      <c r="A3" s="3" t="inlineStr">
        <is>
          <t>Security</t>
        </is>
      </c>
      <c r="B3" s="4" t="inlineStr">
        <is>
          <t>USGG2YR Index</t>
        </is>
      </c>
      <c r="C3" s="4" t="inlineStr">
        <is>
          <t>USGG3YR Index</t>
        </is>
      </c>
      <c r="D3" s="4" t="inlineStr">
        <is>
          <t>USGG5YR Index</t>
        </is>
      </c>
      <c r="E3" s="4" t="inlineStr">
        <is>
          <t>USGG10YR Index</t>
        </is>
      </c>
      <c r="F3" s="4" t="inlineStr">
        <is>
          <t>USGG30YR Index</t>
        </is>
      </c>
      <c r="G3" s="2" t="inlineStr">
        <is>
          <t>(on-the-run generics: GT2 / GT3 / GT5 / GT10 / GT30 Govt)</t>
        </is>
      </c>
      <c r="L3" s="2" t="inlineStr">
        <is>
          <t>0.10 = lower 10% of past year (very flat/low)</t>
        </is>
      </c>
    </row>
    <row r="4">
      <c r="A4" s="3" t="inlineStr">
        <is>
          <t>Start Date</t>
        </is>
      </c>
      <c r="B4" s="5" t="n">
        <v>45896</v>
      </c>
      <c r="L4" s="2" t="inlineStr">
        <is>
          <t>0.25 = lower 25%</t>
        </is>
      </c>
    </row>
    <row r="5">
      <c r="A5" s="3" t="inlineStr">
        <is>
          <t>End Date</t>
        </is>
      </c>
      <c r="B5" s="5" t="n">
        <v>46262</v>
      </c>
      <c r="L5" s="2" t="inlineStr">
        <is>
          <t>0.50 = middle</t>
        </is>
      </c>
    </row>
    <row r="6">
      <c r="A6" s="3" t="inlineStr">
        <is>
          <t>Source</t>
        </is>
      </c>
      <c r="B6" s="2" t="inlineStr">
        <is>
          <t>FRED daily constant-maturity yields DGS2/DGS3/DGS5/DGS10/DGS30 (closes through 2026-08-27). 2026-08-28 row: 2Y/10Y/30Y = reported closes (Advisor Perspectives / CNBC); 3Y/5Y = RED CELLS, regression estimates (d3Y=0.66*d2Y+0.36*d10Y R2 0.91; d5Y=0.45*d2Y+0.64*d10Y R2 0.95) — replace with Bloomberg closes before trading.</t>
        </is>
      </c>
      <c r="L6" s="2" t="inlineStr">
        <is>
          <t>0.80 = upper 20% (already steep/high)</t>
        </is>
      </c>
    </row>
    <row r="7">
      <c r="L7" s="2" t="inlineStr">
        <is>
          <t>* Curve spreads: low = flat = steepener candidate; high = steep = flattener candidate</t>
        </is>
      </c>
    </row>
    <row r="8">
      <c r="A8" s="6" t="inlineStr">
        <is>
          <t>Spread</t>
        </is>
      </c>
      <c r="C8" s="6" t="inlineStr">
        <is>
          <t>Current(bp)</t>
        </is>
      </c>
      <c r="D8" s="6" t="inlineStr">
        <is>
          <t>1Y AVG</t>
        </is>
      </c>
      <c r="E8" s="6" t="inlineStr">
        <is>
          <t>STDEV.s</t>
        </is>
      </c>
      <c r="F8" s="6" t="inlineStr">
        <is>
          <t>Z-score</t>
        </is>
      </c>
      <c r="G8" s="6" t="inlineStr">
        <is>
          <t>Percentile</t>
        </is>
      </c>
      <c r="H8" s="6" t="inlineStr">
        <is>
          <t>1M chg(bp)</t>
        </is>
      </c>
      <c r="I8" s="6" t="inlineStr">
        <is>
          <t>Vol(bp/d)</t>
        </is>
      </c>
      <c r="J8" s="6" t="inlineStr">
        <is>
          <t>Interpretation (1Y window)</t>
        </is>
      </c>
      <c r="L8" s="2" t="inlineStr">
        <is>
          <t>* Fly (2x5Y - 2Y - 10Y): HIGH = belly CHEAP vs wings -&gt; long-belly RV; LOW = belly rich</t>
        </is>
      </c>
    </row>
    <row r="9">
      <c r="A9" s="7" t="inlineStr">
        <is>
          <t>2s5s</t>
        </is>
      </c>
      <c r="C9" s="8">
        <f>L29</f>
        <v/>
      </c>
      <c r="D9" s="8">
        <f>AVERAGE(L29:L280)</f>
        <v/>
      </c>
      <c r="E9" s="9">
        <f>STDEV.S(L29:L280)</f>
        <v/>
      </c>
      <c r="F9" s="10">
        <f>(C9-D9)/E9</f>
        <v/>
      </c>
      <c r="G9" s="11">
        <f>PERCENTRANK(L29:L280,C9)</f>
        <v/>
      </c>
      <c r="H9" s="8">
        <f>L29-L50</f>
        <v/>
      </c>
      <c r="I9" s="9">
        <f>STDEV.S(AD29:AD279)</f>
        <v/>
      </c>
      <c r="J9" s="12">
        <f>IF(G9&lt;=0.1,"Lower 10% of past 1Y (very flat/low)",IF(G9&lt;=0.25,"Lower 25% (flat/low side)",IF(G9&lt;0.75,"Mid-range",IF(G9&lt;0.9,"Upper 25% (steep/high side)","Upper 10% (1Y extreme high)"))))</f>
        <v/>
      </c>
    </row>
    <row r="10">
      <c r="A10" s="7" t="inlineStr">
        <is>
          <t>3s5s</t>
        </is>
      </c>
      <c r="C10" s="8">
        <f>N29</f>
        <v/>
      </c>
      <c r="D10" s="8">
        <f>AVERAGE(N29:N280)</f>
        <v/>
      </c>
      <c r="E10" s="9">
        <f>STDEV.S(N29:N280)</f>
        <v/>
      </c>
      <c r="F10" s="10">
        <f>(C10-D10)/E10</f>
        <v/>
      </c>
      <c r="G10" s="11">
        <f>PERCENTRANK(N29:N280,C10)</f>
        <v/>
      </c>
      <c r="H10" s="8">
        <f>N29-N50</f>
        <v/>
      </c>
      <c r="I10" s="9">
        <f>STDEV.S(AE29:AE279)</f>
        <v/>
      </c>
      <c r="J10" s="12">
        <f>IF(G10&lt;=0.1,"Lower 10% of past 1Y (very flat/low)",IF(G10&lt;=0.25,"Lower 25% (flat/low side)",IF(G10&lt;0.75,"Mid-range",IF(G10&lt;0.9,"Upper 25% (steep/high side)","Upper 10% (1Y extreme high)"))))</f>
        <v/>
      </c>
    </row>
    <row r="11">
      <c r="A11" s="13" t="inlineStr">
        <is>
          <t>5s10s</t>
        </is>
      </c>
      <c r="C11" s="8">
        <f>P29</f>
        <v/>
      </c>
      <c r="D11" s="8">
        <f>AVERAGE(P29:P280)</f>
        <v/>
      </c>
      <c r="E11" s="9">
        <f>STDEV.S(P29:P280)</f>
        <v/>
      </c>
      <c r="F11" s="10">
        <f>(C11-D11)/E11</f>
        <v/>
      </c>
      <c r="G11" s="11">
        <f>PERCENTRANK(P29:P280,C11)</f>
        <v/>
      </c>
      <c r="H11" s="8">
        <f>P29-P50</f>
        <v/>
      </c>
      <c r="I11" s="9">
        <f>STDEV.S(AF29:AF279)</f>
        <v/>
      </c>
      <c r="J11" s="12">
        <f>IF(G11&lt;=0.1,"Lower 10% of past 1Y (very flat/low)",IF(G11&lt;=0.25,"Lower 25% (flat/low side)",IF(G11&lt;0.75,"Mid-range",IF(G11&lt;0.9,"Upper 25% (steep/high side)","Upper 10% (1Y extreme high)"))))</f>
        <v/>
      </c>
    </row>
    <row r="12">
      <c r="A12" s="13" t="inlineStr">
        <is>
          <t>5s30s</t>
        </is>
      </c>
      <c r="C12" s="8">
        <f>R29</f>
        <v/>
      </c>
      <c r="D12" s="8">
        <f>AVERAGE(R29:R280)</f>
        <v/>
      </c>
      <c r="E12" s="9">
        <f>STDEV.S(R29:R280)</f>
        <v/>
      </c>
      <c r="F12" s="10">
        <f>(C12-D12)/E12</f>
        <v/>
      </c>
      <c r="G12" s="11">
        <f>PERCENTRANK(R29:R280,C12)</f>
        <v/>
      </c>
      <c r="H12" s="8">
        <f>R29-R50</f>
        <v/>
      </c>
      <c r="I12" s="9">
        <f>STDEV.S(AG29:AG279)</f>
        <v/>
      </c>
      <c r="J12" s="12">
        <f>IF(G12&lt;=0.1,"Lower 10% of past 1Y (very flat/low)",IF(G12&lt;=0.25,"Lower 25% (flat/low side)",IF(G12&lt;0.75,"Mid-range",IF(G12&lt;0.9,"Upper 25% (steep/high side)","Upper 10% (1Y extreme high)"))))</f>
        <v/>
      </c>
    </row>
    <row r="13">
      <c r="A13" s="7" t="inlineStr">
        <is>
          <t>2s10s</t>
        </is>
      </c>
      <c r="C13" s="8">
        <f>T29</f>
        <v/>
      </c>
      <c r="D13" s="8">
        <f>AVERAGE(T29:T280)</f>
        <v/>
      </c>
      <c r="E13" s="9">
        <f>STDEV.S(T29:T280)</f>
        <v/>
      </c>
      <c r="F13" s="10">
        <f>(C13-D13)/E13</f>
        <v/>
      </c>
      <c r="G13" s="11">
        <f>PERCENTRANK(T29:T280,C13)</f>
        <v/>
      </c>
      <c r="H13" s="8">
        <f>T29-T50</f>
        <v/>
      </c>
      <c r="I13" s="9">
        <f>STDEV.S(AH29:AH279)</f>
        <v/>
      </c>
      <c r="J13" s="12">
        <f>IF(G13&lt;=0.1,"Lower 10% of past 1Y (very flat/low)",IF(G13&lt;=0.25,"Lower 25% (flat/low side)",IF(G13&lt;0.75,"Mid-range",IF(G13&lt;0.9,"Upper 25% (steep/high side)","Upper 10% (1Y extreme high)"))))</f>
        <v/>
      </c>
    </row>
    <row r="14">
      <c r="A14" s="7" t="inlineStr">
        <is>
          <t>3s10s</t>
        </is>
      </c>
      <c r="C14" s="8">
        <f>V29</f>
        <v/>
      </c>
      <c r="D14" s="8">
        <f>AVERAGE(V29:V280)</f>
        <v/>
      </c>
      <c r="E14" s="9">
        <f>STDEV.S(V29:V280)</f>
        <v/>
      </c>
      <c r="F14" s="10">
        <f>(C14-D14)/E14</f>
        <v/>
      </c>
      <c r="G14" s="11">
        <f>PERCENTRANK(V29:V280,C14)</f>
        <v/>
      </c>
      <c r="H14" s="8">
        <f>V29-V50</f>
        <v/>
      </c>
      <c r="I14" s="9">
        <f>STDEV.S(AI29:AI279)</f>
        <v/>
      </c>
      <c r="J14" s="12">
        <f>IF(G14&lt;=0.1,"Lower 10% of past 1Y (very flat/low)",IF(G14&lt;=0.25,"Lower 25% (flat/low side)",IF(G14&lt;0.75,"Mid-range",IF(G14&lt;0.9,"Upper 25% (steep/high side)","Upper 10% (1Y extreme high)"))))</f>
        <v/>
      </c>
    </row>
    <row r="15">
      <c r="A15" s="7" t="inlineStr">
        <is>
          <t>10s30s</t>
        </is>
      </c>
      <c r="C15" s="8">
        <f>X29</f>
        <v/>
      </c>
      <c r="D15" s="8">
        <f>AVERAGE(X29:X280)</f>
        <v/>
      </c>
      <c r="E15" s="9">
        <f>STDEV.S(X29:X280)</f>
        <v/>
      </c>
      <c r="F15" s="10">
        <f>(C15-D15)/E15</f>
        <v/>
      </c>
      <c r="G15" s="11">
        <f>PERCENTRANK(X29:X280,C15)</f>
        <v/>
      </c>
      <c r="H15" s="8">
        <f>X29-X50</f>
        <v/>
      </c>
      <c r="I15" s="9">
        <f>STDEV.S(AJ29:AJ279)</f>
        <v/>
      </c>
      <c r="J15" s="12">
        <f>IF(G15&lt;=0.1,"Lower 10% of past 1Y (very flat/low)",IF(G15&lt;=0.25,"Lower 25% (flat/low side)",IF(G15&lt;0.75,"Mid-range",IF(G15&lt;0.9,"Upper 25% (steep/high side)","Upper 10% (1Y extreme high)"))))</f>
        <v/>
      </c>
    </row>
    <row r="16">
      <c r="A16" s="7" t="inlineStr">
        <is>
          <t>2s30s</t>
        </is>
      </c>
      <c r="C16" s="8">
        <f>Z29</f>
        <v/>
      </c>
      <c r="D16" s="8">
        <f>AVERAGE(Z29:Z280)</f>
        <v/>
      </c>
      <c r="E16" s="9">
        <f>STDEV.S(Z29:Z280)</f>
        <v/>
      </c>
      <c r="F16" s="10">
        <f>(C16-D16)/E16</f>
        <v/>
      </c>
      <c r="G16" s="11">
        <f>PERCENTRANK(Z29:Z280,C16)</f>
        <v/>
      </c>
      <c r="H16" s="8">
        <f>Z29-Z50</f>
        <v/>
      </c>
      <c r="I16" s="9">
        <f>STDEV.S(AK29:AK279)</f>
        <v/>
      </c>
      <c r="J16" s="12">
        <f>IF(G16&lt;=0.1,"Lower 10% of past 1Y (very flat/low)",IF(G16&lt;=0.25,"Lower 25% (flat/low side)",IF(G16&lt;0.75,"Mid-range",IF(G16&lt;0.9,"Upper 25% (steep/high side)","Upper 10% (1Y extreme high)"))))</f>
        <v/>
      </c>
    </row>
    <row r="17">
      <c r="A17" s="13" t="inlineStr">
        <is>
          <t>2s5s10s fly</t>
        </is>
      </c>
      <c r="C17" s="8">
        <f>AB29</f>
        <v/>
      </c>
      <c r="D17" s="8">
        <f>AVERAGE(AB29:AB280)</f>
        <v/>
      </c>
      <c r="E17" s="9">
        <f>STDEV.S(AB29:AB280)</f>
        <v/>
      </c>
      <c r="F17" s="10">
        <f>(C17-D17)/E17</f>
        <v/>
      </c>
      <c r="G17" s="11">
        <f>PERCENTRANK(AB29:AB280,C17)</f>
        <v/>
      </c>
      <c r="H17" s="8">
        <f>AB29-AB50</f>
        <v/>
      </c>
      <c r="I17" s="9">
        <f>STDEV.S(AL29:AL279)</f>
        <v/>
      </c>
      <c r="J17" s="12">
        <f>IF(G17&lt;=0.1,"Lower 10% of past 1Y (very flat/low)",IF(G17&lt;=0.25,"Lower 25% (flat/low side)",IF(G17&lt;0.75,"Mid-range",IF(G17&lt;0.9,"Upper 25% (steep/high side)","Upper 10% (1Y extreme high)"))))</f>
        <v/>
      </c>
    </row>
    <row r="19">
      <c r="A19" s="3" t="inlineStr">
        <is>
          <t>Daily-change correlation (1Y, in bp)</t>
        </is>
      </c>
    </row>
    <row r="20">
      <c r="B20" s="6" t="inlineStr">
        <is>
          <t>2Y</t>
        </is>
      </c>
      <c r="C20" s="6" t="inlineStr">
        <is>
          <t>3Y</t>
        </is>
      </c>
      <c r="D20" s="6" t="inlineStr">
        <is>
          <t>5Y</t>
        </is>
      </c>
      <c r="E20" s="6" t="inlineStr">
        <is>
          <t>10Y</t>
        </is>
      </c>
      <c r="F20" s="6" t="inlineStr">
        <is>
          <t>30Y</t>
        </is>
      </c>
      <c r="H20" s="2" t="inlineStr">
        <is>
          <t>Blue = data (paste new values) · Black = formulas · Yellow = key outputs / 5s trades</t>
        </is>
      </c>
    </row>
    <row r="21">
      <c r="A21" s="6" t="inlineStr">
        <is>
          <t>2Y</t>
        </is>
      </c>
      <c r="B21" s="14">
        <f>CORREL(C29:C279,C29:C279)</f>
        <v/>
      </c>
      <c r="C21" s="15">
        <f>CORREL(C29:C279,E29:E279)</f>
        <v/>
      </c>
      <c r="D21" s="15">
        <f>CORREL(C29:C279,G29:G279)</f>
        <v/>
      </c>
      <c r="E21" s="15">
        <f>CORREL(C29:C279,I29:I279)</f>
        <v/>
      </c>
      <c r="F21" s="15">
        <f>CORREL(C29:C279,K29:K279)</f>
        <v/>
      </c>
      <c r="H21" s="2" t="inlineStr">
        <is>
          <t>If you add rows, extend the stat ranges (L29:L279 etc.) accordingly.</t>
        </is>
      </c>
    </row>
    <row r="22">
      <c r="A22" s="6" t="inlineStr">
        <is>
          <t>3Y</t>
        </is>
      </c>
      <c r="B22" s="15">
        <f>CORREL(E29:E279,C29:C279)</f>
        <v/>
      </c>
      <c r="C22" s="14">
        <f>CORREL(E29:E279,E29:E279)</f>
        <v/>
      </c>
      <c r="D22" s="15">
        <f>CORREL(E29:E279,G29:G279)</f>
        <v/>
      </c>
      <c r="E22" s="15">
        <f>CORREL(E29:E279,I29:I279)</f>
        <v/>
      </c>
      <c r="F22" s="15">
        <f>CORREL(E29:E279,K29:K279)</f>
        <v/>
      </c>
    </row>
    <row r="23">
      <c r="A23" s="6" t="inlineStr">
        <is>
          <t>5Y</t>
        </is>
      </c>
      <c r="B23" s="15">
        <f>CORREL(G29:G279,C29:C279)</f>
        <v/>
      </c>
      <c r="C23" s="15">
        <f>CORREL(G29:G279,E29:E279)</f>
        <v/>
      </c>
      <c r="D23" s="14">
        <f>CORREL(G29:G279,G29:G279)</f>
        <v/>
      </c>
      <c r="E23" s="15">
        <f>CORREL(G29:G279,I29:I279)</f>
        <v/>
      </c>
      <c r="F23" s="15">
        <f>CORREL(G29:G279,K29:K279)</f>
        <v/>
      </c>
    </row>
    <row r="24">
      <c r="A24" s="6" t="inlineStr">
        <is>
          <t>10Y</t>
        </is>
      </c>
      <c r="B24" s="15">
        <f>CORREL(I29:I279,C29:C279)</f>
        <v/>
      </c>
      <c r="C24" s="15">
        <f>CORREL(I29:I279,E29:E279)</f>
        <v/>
      </c>
      <c r="D24" s="15">
        <f>CORREL(I29:I279,G29:G279)</f>
        <v/>
      </c>
      <c r="E24" s="14">
        <f>CORREL(I29:I279,I29:I279)</f>
        <v/>
      </c>
      <c r="F24" s="15">
        <f>CORREL(I29:I279,K29:K279)</f>
        <v/>
      </c>
    </row>
    <row r="25">
      <c r="A25" s="6" t="inlineStr">
        <is>
          <t>30Y</t>
        </is>
      </c>
      <c r="B25" s="15">
        <f>CORREL(K29:K279,C29:C279)</f>
        <v/>
      </c>
      <c r="C25" s="15">
        <f>CORREL(K29:K279,E29:E279)</f>
        <v/>
      </c>
      <c r="D25" s="15">
        <f>CORREL(K29:K279,G29:G279)</f>
        <v/>
      </c>
      <c r="E25" s="15">
        <f>CORREL(K29:K279,I29:I279)</f>
        <v/>
      </c>
      <c r="F25" s="14">
        <f>CORREL(K29:K279,K29:K279)</f>
        <v/>
      </c>
    </row>
    <row r="26">
      <c r="A26" s="7" t="inlineStr">
        <is>
          <t>vol (bp/day)</t>
        </is>
      </c>
      <c r="B26" s="9">
        <f>STDEV.S(C29:C279)</f>
        <v/>
      </c>
      <c r="C26" s="9">
        <f>STDEV.S(E29:E279)</f>
        <v/>
      </c>
      <c r="D26" s="9">
        <f>STDEV.S(G29:G279)</f>
        <v/>
      </c>
      <c r="E26" s="9">
        <f>STDEV.S(I29:I279)</f>
        <v/>
      </c>
      <c r="F26" s="9">
        <f>STDEV.S(K29:K279)</f>
        <v/>
      </c>
    </row>
    <row r="27">
      <c r="A27" s="3" t="inlineStr">
        <is>
          <t>Daily data (newest first) — all computed columns are formulas: insert new data on top and everything recalculates</t>
        </is>
      </c>
    </row>
    <row r="28">
      <c r="A28" s="6" t="inlineStr">
        <is>
          <t>Date</t>
        </is>
      </c>
      <c r="B28" s="6" t="inlineStr">
        <is>
          <t>2Y</t>
        </is>
      </c>
      <c r="C28" s="6" t="inlineStr">
        <is>
          <t>d2Y</t>
        </is>
      </c>
      <c r="D28" s="6" t="inlineStr">
        <is>
          <t>3Y</t>
        </is>
      </c>
      <c r="E28" s="6" t="inlineStr">
        <is>
          <t>d3Y</t>
        </is>
      </c>
      <c r="F28" s="6" t="inlineStr">
        <is>
          <t>5Y</t>
        </is>
      </c>
      <c r="G28" s="6" t="inlineStr">
        <is>
          <t>d5Y</t>
        </is>
      </c>
      <c r="H28" s="6" t="inlineStr">
        <is>
          <t>10Y</t>
        </is>
      </c>
      <c r="I28" s="6" t="inlineStr">
        <is>
          <t>d10Y</t>
        </is>
      </c>
      <c r="J28" s="6" t="inlineStr">
        <is>
          <t>30Y</t>
        </is>
      </c>
      <c r="K28" s="6" t="inlineStr">
        <is>
          <t>d30Y</t>
        </is>
      </c>
      <c r="L28" s="6" t="inlineStr">
        <is>
          <t>2s5s</t>
        </is>
      </c>
      <c r="M28" s="6" t="inlineStr">
        <is>
          <t>Z</t>
        </is>
      </c>
      <c r="N28" s="6" t="inlineStr">
        <is>
          <t>3s5s</t>
        </is>
      </c>
      <c r="O28" s="6" t="inlineStr">
        <is>
          <t>Z</t>
        </is>
      </c>
      <c r="P28" s="6" t="inlineStr">
        <is>
          <t>5s10s</t>
        </is>
      </c>
      <c r="Q28" s="6" t="inlineStr">
        <is>
          <t>Z</t>
        </is>
      </c>
      <c r="R28" s="6" t="inlineStr">
        <is>
          <t>5s30s</t>
        </is>
      </c>
      <c r="S28" s="6" t="inlineStr">
        <is>
          <t>Z</t>
        </is>
      </c>
      <c r="T28" s="6" t="inlineStr">
        <is>
          <t>2s10s</t>
        </is>
      </c>
      <c r="U28" s="6" t="inlineStr">
        <is>
          <t>Z</t>
        </is>
      </c>
      <c r="V28" s="6" t="inlineStr">
        <is>
          <t>3s10s</t>
        </is>
      </c>
      <c r="W28" s="6" t="inlineStr">
        <is>
          <t>Z</t>
        </is>
      </c>
      <c r="X28" s="6" t="inlineStr">
        <is>
          <t>10s30s</t>
        </is>
      </c>
      <c r="Y28" s="6" t="inlineStr">
        <is>
          <t>Z</t>
        </is>
      </c>
      <c r="Z28" s="6" t="inlineStr">
        <is>
          <t>2s30s</t>
        </is>
      </c>
      <c r="AA28" s="6" t="inlineStr">
        <is>
          <t>Z</t>
        </is>
      </c>
      <c r="AB28" s="6" t="inlineStr">
        <is>
          <t>2s5s10s fly</t>
        </is>
      </c>
      <c r="AC28" s="6" t="inlineStr">
        <is>
          <t>Z</t>
        </is>
      </c>
      <c r="AD28" s="6" t="inlineStr">
        <is>
          <t>d 2s5s</t>
        </is>
      </c>
      <c r="AE28" s="6" t="inlineStr">
        <is>
          <t>d 3s5s</t>
        </is>
      </c>
      <c r="AF28" s="6" t="inlineStr">
        <is>
          <t>d 5s10s</t>
        </is>
      </c>
      <c r="AG28" s="6" t="inlineStr">
        <is>
          <t>d 5s30s</t>
        </is>
      </c>
      <c r="AH28" s="6" t="inlineStr">
        <is>
          <t>d 2s10s</t>
        </is>
      </c>
      <c r="AI28" s="6" t="inlineStr">
        <is>
          <t>d 3s10s</t>
        </is>
      </c>
      <c r="AJ28" s="6" t="inlineStr">
        <is>
          <t>d 10s30s</t>
        </is>
      </c>
      <c r="AK28" s="6" t="inlineStr">
        <is>
          <t>d 2s30s</t>
        </is>
      </c>
      <c r="AL28" s="6" t="inlineStr">
        <is>
          <t>d 2s5s10s fly</t>
        </is>
      </c>
    </row>
    <row r="29">
      <c r="A29" s="16" t="n">
        <v>46262</v>
      </c>
      <c r="B29" s="17" t="n">
        <v>4.34</v>
      </c>
      <c r="C29" s="18">
        <f>(B29-B30)*100</f>
        <v/>
      </c>
      <c r="D29" s="19" t="n">
        <v>4.41</v>
      </c>
      <c r="E29" s="18">
        <f>(D29-D30)*100</f>
        <v/>
      </c>
      <c r="F29" s="19" t="n">
        <v>4.48</v>
      </c>
      <c r="G29" s="18">
        <f>(F29-F30)*100</f>
        <v/>
      </c>
      <c r="H29" s="17" t="n">
        <v>4.73</v>
      </c>
      <c r="I29" s="18">
        <f>(H29-H30)*100</f>
        <v/>
      </c>
      <c r="J29" s="17" t="n">
        <v>5.17</v>
      </c>
      <c r="K29" s="18">
        <f>(J29-J30)*100</f>
        <v/>
      </c>
      <c r="L29" s="18">
        <f>(F29-B29)*100</f>
        <v/>
      </c>
      <c r="M29" s="20">
        <f>(L29-$D$9)/$E$9</f>
        <v/>
      </c>
      <c r="N29" s="18">
        <f>(F29-D29)*100</f>
        <v/>
      </c>
      <c r="O29" s="20">
        <f>(N29-$D$10)/$E$10</f>
        <v/>
      </c>
      <c r="P29" s="18">
        <f>(H29-F29)*100</f>
        <v/>
      </c>
      <c r="Q29" s="20">
        <f>(P29-$D$11)/$E$11</f>
        <v/>
      </c>
      <c r="R29" s="18">
        <f>(J29-F29)*100</f>
        <v/>
      </c>
      <c r="S29" s="20">
        <f>(R29-$D$12)/$E$12</f>
        <v/>
      </c>
      <c r="T29" s="18">
        <f>(H29-B29)*100</f>
        <v/>
      </c>
      <c r="U29" s="20">
        <f>(T29-$D$13)/$E$13</f>
        <v/>
      </c>
      <c r="V29" s="18">
        <f>(H29-D29)*100</f>
        <v/>
      </c>
      <c r="W29" s="20">
        <f>(V29-$D$14)/$E$14</f>
        <v/>
      </c>
      <c r="X29" s="18">
        <f>(J29-H29)*100</f>
        <v/>
      </c>
      <c r="Y29" s="20">
        <f>(X29-$D$15)/$E$15</f>
        <v/>
      </c>
      <c r="Z29" s="18">
        <f>(J29-B29)*100</f>
        <v/>
      </c>
      <c r="AA29" s="20">
        <f>(Z29-$D$16)/$E$16</f>
        <v/>
      </c>
      <c r="AB29" s="18">
        <f>(2*F29-B29-H29)*100</f>
        <v/>
      </c>
      <c r="AC29" s="20">
        <f>(AB29-$D$17)/$E$17</f>
        <v/>
      </c>
      <c r="AD29" s="18">
        <f>L29-L30</f>
        <v/>
      </c>
      <c r="AE29" s="18">
        <f>N29-N30</f>
        <v/>
      </c>
      <c r="AF29" s="18">
        <f>P29-P30</f>
        <v/>
      </c>
      <c r="AG29" s="18">
        <f>R29-R30</f>
        <v/>
      </c>
      <c r="AH29" s="18">
        <f>T29-T30</f>
        <v/>
      </c>
      <c r="AI29" s="18">
        <f>V29-V30</f>
        <v/>
      </c>
      <c r="AJ29" s="18">
        <f>X29-X30</f>
        <v/>
      </c>
      <c r="AK29" s="18">
        <f>Z29-Z30</f>
        <v/>
      </c>
      <c r="AL29" s="18">
        <f>AB29-AB30</f>
        <v/>
      </c>
    </row>
    <row r="30">
      <c r="A30" s="16" t="n">
        <v>46261</v>
      </c>
      <c r="B30" s="17" t="n">
        <v>4.2</v>
      </c>
      <c r="C30" s="18">
        <f>(B30-B31)*100</f>
        <v/>
      </c>
      <c r="D30" s="17" t="n">
        <v>4.3</v>
      </c>
      <c r="E30" s="18">
        <f>(D30-D31)*100</f>
        <v/>
      </c>
      <c r="F30" s="17" t="n">
        <v>4.38</v>
      </c>
      <c r="G30" s="18">
        <f>(F30-F31)*100</f>
        <v/>
      </c>
      <c r="H30" s="17" t="n">
        <v>4.67</v>
      </c>
      <c r="I30" s="18">
        <f>(H30-H31)*100</f>
        <v/>
      </c>
      <c r="J30" s="17" t="n">
        <v>5.19</v>
      </c>
      <c r="K30" s="18">
        <f>(J30-J31)*100</f>
        <v/>
      </c>
      <c r="L30" s="18">
        <f>(F30-B30)*100</f>
        <v/>
      </c>
      <c r="M30" s="20">
        <f>(L30-$D$9)/$E$9</f>
        <v/>
      </c>
      <c r="N30" s="18">
        <f>(F30-D30)*100</f>
        <v/>
      </c>
      <c r="O30" s="20">
        <f>(N30-$D$10)/$E$10</f>
        <v/>
      </c>
      <c r="P30" s="18">
        <f>(H30-F30)*100</f>
        <v/>
      </c>
      <c r="Q30" s="20">
        <f>(P30-$D$11)/$E$11</f>
        <v/>
      </c>
      <c r="R30" s="18">
        <f>(J30-F30)*100</f>
        <v/>
      </c>
      <c r="S30" s="20">
        <f>(R30-$D$12)/$E$12</f>
        <v/>
      </c>
      <c r="T30" s="18">
        <f>(H30-B30)*100</f>
        <v/>
      </c>
      <c r="U30" s="20">
        <f>(T30-$D$13)/$E$13</f>
        <v/>
      </c>
      <c r="V30" s="18">
        <f>(H30-D30)*100</f>
        <v/>
      </c>
      <c r="W30" s="20">
        <f>(V30-$D$14)/$E$14</f>
        <v/>
      </c>
      <c r="X30" s="18">
        <f>(J30-H30)*100</f>
        <v/>
      </c>
      <c r="Y30" s="20">
        <f>(X30-$D$15)/$E$15</f>
        <v/>
      </c>
      <c r="Z30" s="18">
        <f>(J30-B30)*100</f>
        <v/>
      </c>
      <c r="AA30" s="20">
        <f>(Z30-$D$16)/$E$16</f>
        <v/>
      </c>
      <c r="AB30" s="18">
        <f>(2*F30-B30-H30)*100</f>
        <v/>
      </c>
      <c r="AC30" s="20">
        <f>(AB30-$D$17)/$E$17</f>
        <v/>
      </c>
      <c r="AD30" s="18">
        <f>L30-L31</f>
        <v/>
      </c>
      <c r="AE30" s="18">
        <f>N30-N31</f>
        <v/>
      </c>
      <c r="AF30" s="18">
        <f>P30-P31</f>
        <v/>
      </c>
      <c r="AG30" s="18">
        <f>R30-R31</f>
        <v/>
      </c>
      <c r="AH30" s="18">
        <f>T30-T31</f>
        <v/>
      </c>
      <c r="AI30" s="18">
        <f>V30-V31</f>
        <v/>
      </c>
      <c r="AJ30" s="18">
        <f>X30-X31</f>
        <v/>
      </c>
      <c r="AK30" s="18">
        <f>Z30-Z31</f>
        <v/>
      </c>
      <c r="AL30" s="18">
        <f>AB30-AB31</f>
        <v/>
      </c>
    </row>
    <row r="31">
      <c r="A31" s="16" t="n">
        <v>46260</v>
      </c>
      <c r="B31" s="17" t="n">
        <v>4.19</v>
      </c>
      <c r="C31" s="18">
        <f>(B31-B32)*100</f>
        <v/>
      </c>
      <c r="D31" s="17" t="n">
        <v>4.29</v>
      </c>
      <c r="E31" s="18">
        <f>(D31-D32)*100</f>
        <v/>
      </c>
      <c r="F31" s="17" t="n">
        <v>4.37</v>
      </c>
      <c r="G31" s="18">
        <f>(F31-F32)*100</f>
        <v/>
      </c>
      <c r="H31" s="17" t="n">
        <v>4.66</v>
      </c>
      <c r="I31" s="18">
        <f>(H31-H32)*100</f>
        <v/>
      </c>
      <c r="J31" s="17" t="n">
        <v>5.18</v>
      </c>
      <c r="K31" s="18">
        <f>(J31-J32)*100</f>
        <v/>
      </c>
      <c r="L31" s="18">
        <f>(F31-B31)*100</f>
        <v/>
      </c>
      <c r="M31" s="20">
        <f>(L31-$D$9)/$E$9</f>
        <v/>
      </c>
      <c r="N31" s="18">
        <f>(F31-D31)*100</f>
        <v/>
      </c>
      <c r="O31" s="20">
        <f>(N31-$D$10)/$E$10</f>
        <v/>
      </c>
      <c r="P31" s="18">
        <f>(H31-F31)*100</f>
        <v/>
      </c>
      <c r="Q31" s="20">
        <f>(P31-$D$11)/$E$11</f>
        <v/>
      </c>
      <c r="R31" s="18">
        <f>(J31-F31)*100</f>
        <v/>
      </c>
      <c r="S31" s="20">
        <f>(R31-$D$12)/$E$12</f>
        <v/>
      </c>
      <c r="T31" s="18">
        <f>(H31-B31)*100</f>
        <v/>
      </c>
      <c r="U31" s="20">
        <f>(T31-$D$13)/$E$13</f>
        <v/>
      </c>
      <c r="V31" s="18">
        <f>(H31-D31)*100</f>
        <v/>
      </c>
      <c r="W31" s="20">
        <f>(V31-$D$14)/$E$14</f>
        <v/>
      </c>
      <c r="X31" s="18">
        <f>(J31-H31)*100</f>
        <v/>
      </c>
      <c r="Y31" s="20">
        <f>(X31-$D$15)/$E$15</f>
        <v/>
      </c>
      <c r="Z31" s="18">
        <f>(J31-B31)*100</f>
        <v/>
      </c>
      <c r="AA31" s="20">
        <f>(Z31-$D$16)/$E$16</f>
        <v/>
      </c>
      <c r="AB31" s="18">
        <f>(2*F31-B31-H31)*100</f>
        <v/>
      </c>
      <c r="AC31" s="20">
        <f>(AB31-$D$17)/$E$17</f>
        <v/>
      </c>
      <c r="AD31" s="18">
        <f>L31-L32</f>
        <v/>
      </c>
      <c r="AE31" s="18">
        <f>N31-N32</f>
        <v/>
      </c>
      <c r="AF31" s="18">
        <f>P31-P32</f>
        <v/>
      </c>
      <c r="AG31" s="18">
        <f>R31-R32</f>
        <v/>
      </c>
      <c r="AH31" s="18">
        <f>T31-T32</f>
        <v/>
      </c>
      <c r="AI31" s="18">
        <f>V31-V32</f>
        <v/>
      </c>
      <c r="AJ31" s="18">
        <f>X31-X32</f>
        <v/>
      </c>
      <c r="AK31" s="18">
        <f>Z31-Z32</f>
        <v/>
      </c>
      <c r="AL31" s="18">
        <f>AB31-AB32</f>
        <v/>
      </c>
    </row>
    <row r="32">
      <c r="A32" s="16" t="n">
        <v>46259</v>
      </c>
      <c r="B32" s="17" t="n">
        <v>4.17</v>
      </c>
      <c r="C32" s="18">
        <f>(B32-B33)*100</f>
        <v/>
      </c>
      <c r="D32" s="17" t="n">
        <v>4.25</v>
      </c>
      <c r="E32" s="18">
        <f>(D32-D33)*100</f>
        <v/>
      </c>
      <c r="F32" s="17" t="n">
        <v>4.35</v>
      </c>
      <c r="G32" s="18">
        <f>(F32-F33)*100</f>
        <v/>
      </c>
      <c r="H32" s="17" t="n">
        <v>4.64</v>
      </c>
      <c r="I32" s="18">
        <f>(H32-H33)*100</f>
        <v/>
      </c>
      <c r="J32" s="17" t="n">
        <v>5.17</v>
      </c>
      <c r="K32" s="18">
        <f>(J32-J33)*100</f>
        <v/>
      </c>
      <c r="L32" s="18">
        <f>(F32-B32)*100</f>
        <v/>
      </c>
      <c r="M32" s="20">
        <f>(L32-$D$9)/$E$9</f>
        <v/>
      </c>
      <c r="N32" s="18">
        <f>(F32-D32)*100</f>
        <v/>
      </c>
      <c r="O32" s="20">
        <f>(N32-$D$10)/$E$10</f>
        <v/>
      </c>
      <c r="P32" s="18">
        <f>(H32-F32)*100</f>
        <v/>
      </c>
      <c r="Q32" s="20">
        <f>(P32-$D$11)/$E$11</f>
        <v/>
      </c>
      <c r="R32" s="18">
        <f>(J32-F32)*100</f>
        <v/>
      </c>
      <c r="S32" s="20">
        <f>(R32-$D$12)/$E$12</f>
        <v/>
      </c>
      <c r="T32" s="18">
        <f>(H32-B32)*100</f>
        <v/>
      </c>
      <c r="U32" s="20">
        <f>(T32-$D$13)/$E$13</f>
        <v/>
      </c>
      <c r="V32" s="18">
        <f>(H32-D32)*100</f>
        <v/>
      </c>
      <c r="W32" s="20">
        <f>(V32-$D$14)/$E$14</f>
        <v/>
      </c>
      <c r="X32" s="18">
        <f>(J32-H32)*100</f>
        <v/>
      </c>
      <c r="Y32" s="20">
        <f>(X32-$D$15)/$E$15</f>
        <v/>
      </c>
      <c r="Z32" s="18">
        <f>(J32-B32)*100</f>
        <v/>
      </c>
      <c r="AA32" s="20">
        <f>(Z32-$D$16)/$E$16</f>
        <v/>
      </c>
      <c r="AB32" s="18">
        <f>(2*F32-B32-H32)*100</f>
        <v/>
      </c>
      <c r="AC32" s="20">
        <f>(AB32-$D$17)/$E$17</f>
        <v/>
      </c>
      <c r="AD32" s="18">
        <f>L32-L33</f>
        <v/>
      </c>
      <c r="AE32" s="18">
        <f>N32-N33</f>
        <v/>
      </c>
      <c r="AF32" s="18">
        <f>P32-P33</f>
        <v/>
      </c>
      <c r="AG32" s="18">
        <f>R32-R33</f>
        <v/>
      </c>
      <c r="AH32" s="18">
        <f>T32-T33</f>
        <v/>
      </c>
      <c r="AI32" s="18">
        <f>V32-V33</f>
        <v/>
      </c>
      <c r="AJ32" s="18">
        <f>X32-X33</f>
        <v/>
      </c>
      <c r="AK32" s="18">
        <f>Z32-Z33</f>
        <v/>
      </c>
      <c r="AL32" s="18">
        <f>AB32-AB33</f>
        <v/>
      </c>
    </row>
    <row r="33">
      <c r="A33" s="16" t="n">
        <v>46258</v>
      </c>
      <c r="B33" s="17" t="n">
        <v>4.24</v>
      </c>
      <c r="C33" s="18">
        <f>(B33-B34)*100</f>
        <v/>
      </c>
      <c r="D33" s="17" t="n">
        <v>4.31</v>
      </c>
      <c r="E33" s="18">
        <f>(D33-D34)*100</f>
        <v/>
      </c>
      <c r="F33" s="17" t="n">
        <v>4.41</v>
      </c>
      <c r="G33" s="18">
        <f>(F33-F34)*100</f>
        <v/>
      </c>
      <c r="H33" s="17" t="n">
        <v>4.7</v>
      </c>
      <c r="I33" s="18">
        <f>(H33-H34)*100</f>
        <v/>
      </c>
      <c r="J33" s="17" t="n">
        <v>5.23</v>
      </c>
      <c r="K33" s="18">
        <f>(J33-J34)*100</f>
        <v/>
      </c>
      <c r="L33" s="18">
        <f>(F33-B33)*100</f>
        <v/>
      </c>
      <c r="M33" s="20">
        <f>(L33-$D$9)/$E$9</f>
        <v/>
      </c>
      <c r="N33" s="18">
        <f>(F33-D33)*100</f>
        <v/>
      </c>
      <c r="O33" s="20">
        <f>(N33-$D$10)/$E$10</f>
        <v/>
      </c>
      <c r="P33" s="18">
        <f>(H33-F33)*100</f>
        <v/>
      </c>
      <c r="Q33" s="20">
        <f>(P33-$D$11)/$E$11</f>
        <v/>
      </c>
      <c r="R33" s="18">
        <f>(J33-F33)*100</f>
        <v/>
      </c>
      <c r="S33" s="20">
        <f>(R33-$D$12)/$E$12</f>
        <v/>
      </c>
      <c r="T33" s="18">
        <f>(H33-B33)*100</f>
        <v/>
      </c>
      <c r="U33" s="20">
        <f>(T33-$D$13)/$E$13</f>
        <v/>
      </c>
      <c r="V33" s="18">
        <f>(H33-D33)*100</f>
        <v/>
      </c>
      <c r="W33" s="20">
        <f>(V33-$D$14)/$E$14</f>
        <v/>
      </c>
      <c r="X33" s="18">
        <f>(J33-H33)*100</f>
        <v/>
      </c>
      <c r="Y33" s="20">
        <f>(X33-$D$15)/$E$15</f>
        <v/>
      </c>
      <c r="Z33" s="18">
        <f>(J33-B33)*100</f>
        <v/>
      </c>
      <c r="AA33" s="20">
        <f>(Z33-$D$16)/$E$16</f>
        <v/>
      </c>
      <c r="AB33" s="18">
        <f>(2*F33-B33-H33)*100</f>
        <v/>
      </c>
      <c r="AC33" s="20">
        <f>(AB33-$D$17)/$E$17</f>
        <v/>
      </c>
      <c r="AD33" s="18">
        <f>L33-L34</f>
        <v/>
      </c>
      <c r="AE33" s="18">
        <f>N33-N34</f>
        <v/>
      </c>
      <c r="AF33" s="18">
        <f>P33-P34</f>
        <v/>
      </c>
      <c r="AG33" s="18">
        <f>R33-R34</f>
        <v/>
      </c>
      <c r="AH33" s="18">
        <f>T33-T34</f>
        <v/>
      </c>
      <c r="AI33" s="18">
        <f>V33-V34</f>
        <v/>
      </c>
      <c r="AJ33" s="18">
        <f>X33-X34</f>
        <v/>
      </c>
      <c r="AK33" s="18">
        <f>Z33-Z34</f>
        <v/>
      </c>
      <c r="AL33" s="18">
        <f>AB33-AB34</f>
        <v/>
      </c>
    </row>
    <row r="34">
      <c r="A34" s="16" t="n">
        <v>46255</v>
      </c>
      <c r="B34" s="17" t="n">
        <v>4.24</v>
      </c>
      <c r="C34" s="18">
        <f>(B34-B35)*100</f>
        <v/>
      </c>
      <c r="D34" s="17" t="n">
        <v>4.31</v>
      </c>
      <c r="E34" s="18">
        <f>(D34-D35)*100</f>
        <v/>
      </c>
      <c r="F34" s="17" t="n">
        <v>4.43</v>
      </c>
      <c r="G34" s="18">
        <f>(F34-F35)*100</f>
        <v/>
      </c>
      <c r="H34" s="17" t="n">
        <v>4.74</v>
      </c>
      <c r="I34" s="18">
        <f>(H34-H35)*100</f>
        <v/>
      </c>
      <c r="J34" s="17" t="n">
        <v>5.27</v>
      </c>
      <c r="K34" s="18">
        <f>(J34-J35)*100</f>
        <v/>
      </c>
      <c r="L34" s="18">
        <f>(F34-B34)*100</f>
        <v/>
      </c>
      <c r="M34" s="20">
        <f>(L34-$D$9)/$E$9</f>
        <v/>
      </c>
      <c r="N34" s="18">
        <f>(F34-D34)*100</f>
        <v/>
      </c>
      <c r="O34" s="20">
        <f>(N34-$D$10)/$E$10</f>
        <v/>
      </c>
      <c r="P34" s="18">
        <f>(H34-F34)*100</f>
        <v/>
      </c>
      <c r="Q34" s="20">
        <f>(P34-$D$11)/$E$11</f>
        <v/>
      </c>
      <c r="R34" s="18">
        <f>(J34-F34)*100</f>
        <v/>
      </c>
      <c r="S34" s="20">
        <f>(R34-$D$12)/$E$12</f>
        <v/>
      </c>
      <c r="T34" s="18">
        <f>(H34-B34)*100</f>
        <v/>
      </c>
      <c r="U34" s="20">
        <f>(T34-$D$13)/$E$13</f>
        <v/>
      </c>
      <c r="V34" s="18">
        <f>(H34-D34)*100</f>
        <v/>
      </c>
      <c r="W34" s="20">
        <f>(V34-$D$14)/$E$14</f>
        <v/>
      </c>
      <c r="X34" s="18">
        <f>(J34-H34)*100</f>
        <v/>
      </c>
      <c r="Y34" s="20">
        <f>(X34-$D$15)/$E$15</f>
        <v/>
      </c>
      <c r="Z34" s="18">
        <f>(J34-B34)*100</f>
        <v/>
      </c>
      <c r="AA34" s="20">
        <f>(Z34-$D$16)/$E$16</f>
        <v/>
      </c>
      <c r="AB34" s="18">
        <f>(2*F34-B34-H34)*100</f>
        <v/>
      </c>
      <c r="AC34" s="20">
        <f>(AB34-$D$17)/$E$17</f>
        <v/>
      </c>
      <c r="AD34" s="18">
        <f>L34-L35</f>
        <v/>
      </c>
      <c r="AE34" s="18">
        <f>N34-N35</f>
        <v/>
      </c>
      <c r="AF34" s="18">
        <f>P34-P35</f>
        <v/>
      </c>
      <c r="AG34" s="18">
        <f>R34-R35</f>
        <v/>
      </c>
      <c r="AH34" s="18">
        <f>T34-T35</f>
        <v/>
      </c>
      <c r="AI34" s="18">
        <f>V34-V35</f>
        <v/>
      </c>
      <c r="AJ34" s="18">
        <f>X34-X35</f>
        <v/>
      </c>
      <c r="AK34" s="18">
        <f>Z34-Z35</f>
        <v/>
      </c>
      <c r="AL34" s="18">
        <f>AB34-AB35</f>
        <v/>
      </c>
    </row>
    <row r="35">
      <c r="A35" s="16" t="n">
        <v>46254</v>
      </c>
      <c r="B35" s="17" t="n">
        <v>4.19</v>
      </c>
      <c r="C35" s="18">
        <f>(B35-B36)*100</f>
        <v/>
      </c>
      <c r="D35" s="17" t="n">
        <v>4.26</v>
      </c>
      <c r="E35" s="18">
        <f>(D35-D36)*100</f>
        <v/>
      </c>
      <c r="F35" s="17" t="n">
        <v>4.39</v>
      </c>
      <c r="G35" s="18">
        <f>(F35-F36)*100</f>
        <v/>
      </c>
      <c r="H35" s="17" t="n">
        <v>4.69</v>
      </c>
      <c r="I35" s="18">
        <f>(H35-H36)*100</f>
        <v/>
      </c>
      <c r="J35" s="17" t="n">
        <v>5.23</v>
      </c>
      <c r="K35" s="18">
        <f>(J35-J36)*100</f>
        <v/>
      </c>
      <c r="L35" s="18">
        <f>(F35-B35)*100</f>
        <v/>
      </c>
      <c r="M35" s="20">
        <f>(L35-$D$9)/$E$9</f>
        <v/>
      </c>
      <c r="N35" s="18">
        <f>(F35-D35)*100</f>
        <v/>
      </c>
      <c r="O35" s="20">
        <f>(N35-$D$10)/$E$10</f>
        <v/>
      </c>
      <c r="P35" s="18">
        <f>(H35-F35)*100</f>
        <v/>
      </c>
      <c r="Q35" s="20">
        <f>(P35-$D$11)/$E$11</f>
        <v/>
      </c>
      <c r="R35" s="18">
        <f>(J35-F35)*100</f>
        <v/>
      </c>
      <c r="S35" s="20">
        <f>(R35-$D$12)/$E$12</f>
        <v/>
      </c>
      <c r="T35" s="18">
        <f>(H35-B35)*100</f>
        <v/>
      </c>
      <c r="U35" s="20">
        <f>(T35-$D$13)/$E$13</f>
        <v/>
      </c>
      <c r="V35" s="18">
        <f>(H35-D35)*100</f>
        <v/>
      </c>
      <c r="W35" s="20">
        <f>(V35-$D$14)/$E$14</f>
        <v/>
      </c>
      <c r="X35" s="18">
        <f>(J35-H35)*100</f>
        <v/>
      </c>
      <c r="Y35" s="20">
        <f>(X35-$D$15)/$E$15</f>
        <v/>
      </c>
      <c r="Z35" s="18">
        <f>(J35-B35)*100</f>
        <v/>
      </c>
      <c r="AA35" s="20">
        <f>(Z35-$D$16)/$E$16</f>
        <v/>
      </c>
      <c r="AB35" s="18">
        <f>(2*F35-B35-H35)*100</f>
        <v/>
      </c>
      <c r="AC35" s="20">
        <f>(AB35-$D$17)/$E$17</f>
        <v/>
      </c>
      <c r="AD35" s="18">
        <f>L35-L36</f>
        <v/>
      </c>
      <c r="AE35" s="18">
        <f>N35-N36</f>
        <v/>
      </c>
      <c r="AF35" s="18">
        <f>P35-P36</f>
        <v/>
      </c>
      <c r="AG35" s="18">
        <f>R35-R36</f>
        <v/>
      </c>
      <c r="AH35" s="18">
        <f>T35-T36</f>
        <v/>
      </c>
      <c r="AI35" s="18">
        <f>V35-V36</f>
        <v/>
      </c>
      <c r="AJ35" s="18">
        <f>X35-X36</f>
        <v/>
      </c>
      <c r="AK35" s="18">
        <f>Z35-Z36</f>
        <v/>
      </c>
      <c r="AL35" s="18">
        <f>AB35-AB36</f>
        <v/>
      </c>
    </row>
    <row r="36">
      <c r="A36" s="16" t="n">
        <v>46253</v>
      </c>
      <c r="B36" s="17" t="n">
        <v>4.19</v>
      </c>
      <c r="C36" s="18">
        <f>(B36-B37)*100</f>
        <v/>
      </c>
      <c r="D36" s="17" t="n">
        <v>4.25</v>
      </c>
      <c r="E36" s="18">
        <f>(D36-D37)*100</f>
        <v/>
      </c>
      <c r="F36" s="17" t="n">
        <v>4.35</v>
      </c>
      <c r="G36" s="18">
        <f>(F36-F37)*100</f>
        <v/>
      </c>
      <c r="H36" s="17" t="n">
        <v>4.65</v>
      </c>
      <c r="I36" s="18">
        <f>(H36-H37)*100</f>
        <v/>
      </c>
      <c r="J36" s="17" t="n">
        <v>5.19</v>
      </c>
      <c r="K36" s="18">
        <f>(J36-J37)*100</f>
        <v/>
      </c>
      <c r="L36" s="18">
        <f>(F36-B36)*100</f>
        <v/>
      </c>
      <c r="M36" s="20">
        <f>(L36-$D$9)/$E$9</f>
        <v/>
      </c>
      <c r="N36" s="18">
        <f>(F36-D36)*100</f>
        <v/>
      </c>
      <c r="O36" s="20">
        <f>(N36-$D$10)/$E$10</f>
        <v/>
      </c>
      <c r="P36" s="18">
        <f>(H36-F36)*100</f>
        <v/>
      </c>
      <c r="Q36" s="20">
        <f>(P36-$D$11)/$E$11</f>
        <v/>
      </c>
      <c r="R36" s="18">
        <f>(J36-F36)*100</f>
        <v/>
      </c>
      <c r="S36" s="20">
        <f>(R36-$D$12)/$E$12</f>
        <v/>
      </c>
      <c r="T36" s="18">
        <f>(H36-B36)*100</f>
        <v/>
      </c>
      <c r="U36" s="20">
        <f>(T36-$D$13)/$E$13</f>
        <v/>
      </c>
      <c r="V36" s="18">
        <f>(H36-D36)*100</f>
        <v/>
      </c>
      <c r="W36" s="20">
        <f>(V36-$D$14)/$E$14</f>
        <v/>
      </c>
      <c r="X36" s="18">
        <f>(J36-H36)*100</f>
        <v/>
      </c>
      <c r="Y36" s="20">
        <f>(X36-$D$15)/$E$15</f>
        <v/>
      </c>
      <c r="Z36" s="18">
        <f>(J36-B36)*100</f>
        <v/>
      </c>
      <c r="AA36" s="20">
        <f>(Z36-$D$16)/$E$16</f>
        <v/>
      </c>
      <c r="AB36" s="18">
        <f>(2*F36-B36-H36)*100</f>
        <v/>
      </c>
      <c r="AC36" s="20">
        <f>(AB36-$D$17)/$E$17</f>
        <v/>
      </c>
      <c r="AD36" s="18">
        <f>L36-L37</f>
        <v/>
      </c>
      <c r="AE36" s="18">
        <f>N36-N37</f>
        <v/>
      </c>
      <c r="AF36" s="18">
        <f>P36-P37</f>
        <v/>
      </c>
      <c r="AG36" s="18">
        <f>R36-R37</f>
        <v/>
      </c>
      <c r="AH36" s="18">
        <f>T36-T37</f>
        <v/>
      </c>
      <c r="AI36" s="18">
        <f>V36-V37</f>
        <v/>
      </c>
      <c r="AJ36" s="18">
        <f>X36-X37</f>
        <v/>
      </c>
      <c r="AK36" s="18">
        <f>Z36-Z37</f>
        <v/>
      </c>
      <c r="AL36" s="18">
        <f>AB36-AB37</f>
        <v/>
      </c>
    </row>
    <row r="37">
      <c r="A37" s="16" t="n">
        <v>46252</v>
      </c>
      <c r="B37" s="17" t="n">
        <v>4.19</v>
      </c>
      <c r="C37" s="18">
        <f>(B37-B38)*100</f>
        <v/>
      </c>
      <c r="D37" s="17" t="n">
        <v>4.26</v>
      </c>
      <c r="E37" s="18">
        <f>(D37-D38)*100</f>
        <v/>
      </c>
      <c r="F37" s="17" t="n">
        <v>4.37</v>
      </c>
      <c r="G37" s="18">
        <f>(F37-F38)*100</f>
        <v/>
      </c>
      <c r="H37" s="17" t="n">
        <v>4.71</v>
      </c>
      <c r="I37" s="18">
        <f>(H37-H38)*100</f>
        <v/>
      </c>
      <c r="J37" s="17" t="n">
        <v>5.28</v>
      </c>
      <c r="K37" s="18">
        <f>(J37-J38)*100</f>
        <v/>
      </c>
      <c r="L37" s="18">
        <f>(F37-B37)*100</f>
        <v/>
      </c>
      <c r="M37" s="20">
        <f>(L37-$D$9)/$E$9</f>
        <v/>
      </c>
      <c r="N37" s="18">
        <f>(F37-D37)*100</f>
        <v/>
      </c>
      <c r="O37" s="20">
        <f>(N37-$D$10)/$E$10</f>
        <v/>
      </c>
      <c r="P37" s="18">
        <f>(H37-F37)*100</f>
        <v/>
      </c>
      <c r="Q37" s="20">
        <f>(P37-$D$11)/$E$11</f>
        <v/>
      </c>
      <c r="R37" s="18">
        <f>(J37-F37)*100</f>
        <v/>
      </c>
      <c r="S37" s="20">
        <f>(R37-$D$12)/$E$12</f>
        <v/>
      </c>
      <c r="T37" s="18">
        <f>(H37-B37)*100</f>
        <v/>
      </c>
      <c r="U37" s="20">
        <f>(T37-$D$13)/$E$13</f>
        <v/>
      </c>
      <c r="V37" s="18">
        <f>(H37-D37)*100</f>
        <v/>
      </c>
      <c r="W37" s="20">
        <f>(V37-$D$14)/$E$14</f>
        <v/>
      </c>
      <c r="X37" s="18">
        <f>(J37-H37)*100</f>
        <v/>
      </c>
      <c r="Y37" s="20">
        <f>(X37-$D$15)/$E$15</f>
        <v/>
      </c>
      <c r="Z37" s="18">
        <f>(J37-B37)*100</f>
        <v/>
      </c>
      <c r="AA37" s="20">
        <f>(Z37-$D$16)/$E$16</f>
        <v/>
      </c>
      <c r="AB37" s="18">
        <f>(2*F37-B37-H37)*100</f>
        <v/>
      </c>
      <c r="AC37" s="20">
        <f>(AB37-$D$17)/$E$17</f>
        <v/>
      </c>
      <c r="AD37" s="18">
        <f>L37-L38</f>
        <v/>
      </c>
      <c r="AE37" s="18">
        <f>N37-N38</f>
        <v/>
      </c>
      <c r="AF37" s="18">
        <f>P37-P38</f>
        <v/>
      </c>
      <c r="AG37" s="18">
        <f>R37-R38</f>
        <v/>
      </c>
      <c r="AH37" s="18">
        <f>T37-T38</f>
        <v/>
      </c>
      <c r="AI37" s="18">
        <f>V37-V38</f>
        <v/>
      </c>
      <c r="AJ37" s="18">
        <f>X37-X38</f>
        <v/>
      </c>
      <c r="AK37" s="18">
        <f>Z37-Z38</f>
        <v/>
      </c>
      <c r="AL37" s="18">
        <f>AB37-AB38</f>
        <v/>
      </c>
    </row>
    <row r="38">
      <c r="A38" s="16" t="n">
        <v>46251</v>
      </c>
      <c r="B38" s="17" t="n">
        <v>4.19</v>
      </c>
      <c r="C38" s="18">
        <f>(B38-B39)*100</f>
        <v/>
      </c>
      <c r="D38" s="17" t="n">
        <v>4.25</v>
      </c>
      <c r="E38" s="18">
        <f>(D38-D39)*100</f>
        <v/>
      </c>
      <c r="F38" s="17" t="n">
        <v>4.38</v>
      </c>
      <c r="G38" s="18">
        <f>(F38-F39)*100</f>
        <v/>
      </c>
      <c r="H38" s="17" t="n">
        <v>4.72</v>
      </c>
      <c r="I38" s="18">
        <f>(H38-H39)*100</f>
        <v/>
      </c>
      <c r="J38" s="17" t="n">
        <v>5.31</v>
      </c>
      <c r="K38" s="18">
        <f>(J38-J39)*100</f>
        <v/>
      </c>
      <c r="L38" s="18">
        <f>(F38-B38)*100</f>
        <v/>
      </c>
      <c r="M38" s="20">
        <f>(L38-$D$9)/$E$9</f>
        <v/>
      </c>
      <c r="N38" s="18">
        <f>(F38-D38)*100</f>
        <v/>
      </c>
      <c r="O38" s="20">
        <f>(N38-$D$10)/$E$10</f>
        <v/>
      </c>
      <c r="P38" s="18">
        <f>(H38-F38)*100</f>
        <v/>
      </c>
      <c r="Q38" s="20">
        <f>(P38-$D$11)/$E$11</f>
        <v/>
      </c>
      <c r="R38" s="18">
        <f>(J38-F38)*100</f>
        <v/>
      </c>
      <c r="S38" s="20">
        <f>(R38-$D$12)/$E$12</f>
        <v/>
      </c>
      <c r="T38" s="18">
        <f>(H38-B38)*100</f>
        <v/>
      </c>
      <c r="U38" s="20">
        <f>(T38-$D$13)/$E$13</f>
        <v/>
      </c>
      <c r="V38" s="18">
        <f>(H38-D38)*100</f>
        <v/>
      </c>
      <c r="W38" s="20">
        <f>(V38-$D$14)/$E$14</f>
        <v/>
      </c>
      <c r="X38" s="18">
        <f>(J38-H38)*100</f>
        <v/>
      </c>
      <c r="Y38" s="20">
        <f>(X38-$D$15)/$E$15</f>
        <v/>
      </c>
      <c r="Z38" s="18">
        <f>(J38-B38)*100</f>
        <v/>
      </c>
      <c r="AA38" s="20">
        <f>(Z38-$D$16)/$E$16</f>
        <v/>
      </c>
      <c r="AB38" s="18">
        <f>(2*F38-B38-H38)*100</f>
        <v/>
      </c>
      <c r="AC38" s="20">
        <f>(AB38-$D$17)/$E$17</f>
        <v/>
      </c>
      <c r="AD38" s="18">
        <f>L38-L39</f>
        <v/>
      </c>
      <c r="AE38" s="18">
        <f>N38-N39</f>
        <v/>
      </c>
      <c r="AF38" s="18">
        <f>P38-P39</f>
        <v/>
      </c>
      <c r="AG38" s="18">
        <f>R38-R39</f>
        <v/>
      </c>
      <c r="AH38" s="18">
        <f>T38-T39</f>
        <v/>
      </c>
      <c r="AI38" s="18">
        <f>V38-V39</f>
        <v/>
      </c>
      <c r="AJ38" s="18">
        <f>X38-X39</f>
        <v/>
      </c>
      <c r="AK38" s="18">
        <f>Z38-Z39</f>
        <v/>
      </c>
      <c r="AL38" s="18">
        <f>AB38-AB39</f>
        <v/>
      </c>
    </row>
    <row r="39">
      <c r="A39" s="16" t="n">
        <v>46248</v>
      </c>
      <c r="B39" s="17" t="n">
        <v>4.17</v>
      </c>
      <c r="C39" s="18">
        <f>(B39-B40)*100</f>
        <v/>
      </c>
      <c r="D39" s="17" t="n">
        <v>4.24</v>
      </c>
      <c r="E39" s="18">
        <f>(D39-D40)*100</f>
        <v/>
      </c>
      <c r="F39" s="17" t="n">
        <v>4.36</v>
      </c>
      <c r="G39" s="18">
        <f>(F39-F40)*100</f>
        <v/>
      </c>
      <c r="H39" s="17" t="n">
        <v>4.68</v>
      </c>
      <c r="I39" s="18">
        <f>(H39-H40)*100</f>
        <v/>
      </c>
      <c r="J39" s="17" t="n">
        <v>5.25</v>
      </c>
      <c r="K39" s="18">
        <f>(J39-J40)*100</f>
        <v/>
      </c>
      <c r="L39" s="18">
        <f>(F39-B39)*100</f>
        <v/>
      </c>
      <c r="M39" s="20">
        <f>(L39-$D$9)/$E$9</f>
        <v/>
      </c>
      <c r="N39" s="18">
        <f>(F39-D39)*100</f>
        <v/>
      </c>
      <c r="O39" s="20">
        <f>(N39-$D$10)/$E$10</f>
        <v/>
      </c>
      <c r="P39" s="18">
        <f>(H39-F39)*100</f>
        <v/>
      </c>
      <c r="Q39" s="20">
        <f>(P39-$D$11)/$E$11</f>
        <v/>
      </c>
      <c r="R39" s="18">
        <f>(J39-F39)*100</f>
        <v/>
      </c>
      <c r="S39" s="20">
        <f>(R39-$D$12)/$E$12</f>
        <v/>
      </c>
      <c r="T39" s="18">
        <f>(H39-B39)*100</f>
        <v/>
      </c>
      <c r="U39" s="20">
        <f>(T39-$D$13)/$E$13</f>
        <v/>
      </c>
      <c r="V39" s="18">
        <f>(H39-D39)*100</f>
        <v/>
      </c>
      <c r="W39" s="20">
        <f>(V39-$D$14)/$E$14</f>
        <v/>
      </c>
      <c r="X39" s="18">
        <f>(J39-H39)*100</f>
        <v/>
      </c>
      <c r="Y39" s="20">
        <f>(X39-$D$15)/$E$15</f>
        <v/>
      </c>
      <c r="Z39" s="18">
        <f>(J39-B39)*100</f>
        <v/>
      </c>
      <c r="AA39" s="20">
        <f>(Z39-$D$16)/$E$16</f>
        <v/>
      </c>
      <c r="AB39" s="18">
        <f>(2*F39-B39-H39)*100</f>
        <v/>
      </c>
      <c r="AC39" s="20">
        <f>(AB39-$D$17)/$E$17</f>
        <v/>
      </c>
      <c r="AD39" s="18">
        <f>L39-L40</f>
        <v/>
      </c>
      <c r="AE39" s="18">
        <f>N39-N40</f>
        <v/>
      </c>
      <c r="AF39" s="18">
        <f>P39-P40</f>
        <v/>
      </c>
      <c r="AG39" s="18">
        <f>R39-R40</f>
        <v/>
      </c>
      <c r="AH39" s="18">
        <f>T39-T40</f>
        <v/>
      </c>
      <c r="AI39" s="18">
        <f>V39-V40</f>
        <v/>
      </c>
      <c r="AJ39" s="18">
        <f>X39-X40</f>
        <v/>
      </c>
      <c r="AK39" s="18">
        <f>Z39-Z40</f>
        <v/>
      </c>
      <c r="AL39" s="18">
        <f>AB39-AB40</f>
        <v/>
      </c>
    </row>
    <row r="40">
      <c r="A40" s="16" t="n">
        <v>46247</v>
      </c>
      <c r="B40" s="17" t="n">
        <v>4.15</v>
      </c>
      <c r="C40" s="18">
        <f>(B40-B41)*100</f>
        <v/>
      </c>
      <c r="D40" s="17" t="n">
        <v>4.2</v>
      </c>
      <c r="E40" s="18">
        <f>(D40-D41)*100</f>
        <v/>
      </c>
      <c r="F40" s="17" t="n">
        <v>4.32</v>
      </c>
      <c r="G40" s="18">
        <f>(F40-F41)*100</f>
        <v/>
      </c>
      <c r="H40" s="17" t="n">
        <v>4.63</v>
      </c>
      <c r="I40" s="18">
        <f>(H40-H41)*100</f>
        <v/>
      </c>
      <c r="J40" s="17" t="n">
        <v>5.21</v>
      </c>
      <c r="K40" s="18">
        <f>(J40-J41)*100</f>
        <v/>
      </c>
      <c r="L40" s="18">
        <f>(F40-B40)*100</f>
        <v/>
      </c>
      <c r="M40" s="20">
        <f>(L40-$D$9)/$E$9</f>
        <v/>
      </c>
      <c r="N40" s="18">
        <f>(F40-D40)*100</f>
        <v/>
      </c>
      <c r="O40" s="20">
        <f>(N40-$D$10)/$E$10</f>
        <v/>
      </c>
      <c r="P40" s="18">
        <f>(H40-F40)*100</f>
        <v/>
      </c>
      <c r="Q40" s="20">
        <f>(P40-$D$11)/$E$11</f>
        <v/>
      </c>
      <c r="R40" s="18">
        <f>(J40-F40)*100</f>
        <v/>
      </c>
      <c r="S40" s="20">
        <f>(R40-$D$12)/$E$12</f>
        <v/>
      </c>
      <c r="T40" s="18">
        <f>(H40-B40)*100</f>
        <v/>
      </c>
      <c r="U40" s="20">
        <f>(T40-$D$13)/$E$13</f>
        <v/>
      </c>
      <c r="V40" s="18">
        <f>(H40-D40)*100</f>
        <v/>
      </c>
      <c r="W40" s="20">
        <f>(V40-$D$14)/$E$14</f>
        <v/>
      </c>
      <c r="X40" s="18">
        <f>(J40-H40)*100</f>
        <v/>
      </c>
      <c r="Y40" s="20">
        <f>(X40-$D$15)/$E$15</f>
        <v/>
      </c>
      <c r="Z40" s="18">
        <f>(J40-B40)*100</f>
        <v/>
      </c>
      <c r="AA40" s="20">
        <f>(Z40-$D$16)/$E$16</f>
        <v/>
      </c>
      <c r="AB40" s="18">
        <f>(2*F40-B40-H40)*100</f>
        <v/>
      </c>
      <c r="AC40" s="20">
        <f>(AB40-$D$17)/$E$17</f>
        <v/>
      </c>
      <c r="AD40" s="18">
        <f>L40-L41</f>
        <v/>
      </c>
      <c r="AE40" s="18">
        <f>N40-N41</f>
        <v/>
      </c>
      <c r="AF40" s="18">
        <f>P40-P41</f>
        <v/>
      </c>
      <c r="AG40" s="18">
        <f>R40-R41</f>
        <v/>
      </c>
      <c r="AH40" s="18">
        <f>T40-T41</f>
        <v/>
      </c>
      <c r="AI40" s="18">
        <f>V40-V41</f>
        <v/>
      </c>
      <c r="AJ40" s="18">
        <f>X40-X41</f>
        <v/>
      </c>
      <c r="AK40" s="18">
        <f>Z40-Z41</f>
        <v/>
      </c>
      <c r="AL40" s="18">
        <f>AB40-AB41</f>
        <v/>
      </c>
    </row>
    <row r="41">
      <c r="A41" s="16" t="n">
        <v>46246</v>
      </c>
      <c r="B41" s="17" t="n">
        <v>4.2</v>
      </c>
      <c r="C41" s="18">
        <f>(B41-B42)*100</f>
        <v/>
      </c>
      <c r="D41" s="17" t="n">
        <v>4.25</v>
      </c>
      <c r="E41" s="18">
        <f>(D41-D42)*100</f>
        <v/>
      </c>
      <c r="F41" s="17" t="n">
        <v>4.38</v>
      </c>
      <c r="G41" s="18">
        <f>(F41-F42)*100</f>
        <v/>
      </c>
      <c r="H41" s="17" t="n">
        <v>4.68</v>
      </c>
      <c r="I41" s="18">
        <f>(H41-H42)*100</f>
        <v/>
      </c>
      <c r="J41" s="17" t="n">
        <v>5.24</v>
      </c>
      <c r="K41" s="18">
        <f>(J41-J42)*100</f>
        <v/>
      </c>
      <c r="L41" s="18">
        <f>(F41-B41)*100</f>
        <v/>
      </c>
      <c r="M41" s="20">
        <f>(L41-$D$9)/$E$9</f>
        <v/>
      </c>
      <c r="N41" s="18">
        <f>(F41-D41)*100</f>
        <v/>
      </c>
      <c r="O41" s="20">
        <f>(N41-$D$10)/$E$10</f>
        <v/>
      </c>
      <c r="P41" s="18">
        <f>(H41-F41)*100</f>
        <v/>
      </c>
      <c r="Q41" s="20">
        <f>(P41-$D$11)/$E$11</f>
        <v/>
      </c>
      <c r="R41" s="18">
        <f>(J41-F41)*100</f>
        <v/>
      </c>
      <c r="S41" s="20">
        <f>(R41-$D$12)/$E$12</f>
        <v/>
      </c>
      <c r="T41" s="18">
        <f>(H41-B41)*100</f>
        <v/>
      </c>
      <c r="U41" s="20">
        <f>(T41-$D$13)/$E$13</f>
        <v/>
      </c>
      <c r="V41" s="18">
        <f>(H41-D41)*100</f>
        <v/>
      </c>
      <c r="W41" s="20">
        <f>(V41-$D$14)/$E$14</f>
        <v/>
      </c>
      <c r="X41" s="18">
        <f>(J41-H41)*100</f>
        <v/>
      </c>
      <c r="Y41" s="20">
        <f>(X41-$D$15)/$E$15</f>
        <v/>
      </c>
      <c r="Z41" s="18">
        <f>(J41-B41)*100</f>
        <v/>
      </c>
      <c r="AA41" s="20">
        <f>(Z41-$D$16)/$E$16</f>
        <v/>
      </c>
      <c r="AB41" s="18">
        <f>(2*F41-B41-H41)*100</f>
        <v/>
      </c>
      <c r="AC41" s="20">
        <f>(AB41-$D$17)/$E$17</f>
        <v/>
      </c>
      <c r="AD41" s="18">
        <f>L41-L42</f>
        <v/>
      </c>
      <c r="AE41" s="18">
        <f>N41-N42</f>
        <v/>
      </c>
      <c r="AF41" s="18">
        <f>P41-P42</f>
        <v/>
      </c>
      <c r="AG41" s="18">
        <f>R41-R42</f>
        <v/>
      </c>
      <c r="AH41" s="18">
        <f>T41-T42</f>
        <v/>
      </c>
      <c r="AI41" s="18">
        <f>V41-V42</f>
        <v/>
      </c>
      <c r="AJ41" s="18">
        <f>X41-X42</f>
        <v/>
      </c>
      <c r="AK41" s="18">
        <f>Z41-Z42</f>
        <v/>
      </c>
      <c r="AL41" s="18">
        <f>AB41-AB42</f>
        <v/>
      </c>
    </row>
    <row r="42">
      <c r="A42" s="16" t="n">
        <v>46245</v>
      </c>
      <c r="B42" s="17" t="n">
        <v>4.22</v>
      </c>
      <c r="C42" s="18">
        <f>(B42-B43)*100</f>
        <v/>
      </c>
      <c r="D42" s="17" t="n">
        <v>4.27</v>
      </c>
      <c r="E42" s="18">
        <f>(D42-D43)*100</f>
        <v/>
      </c>
      <c r="F42" s="17" t="n">
        <v>4.39</v>
      </c>
      <c r="G42" s="18">
        <f>(F42-F43)*100</f>
        <v/>
      </c>
      <c r="H42" s="17" t="n">
        <v>4.7</v>
      </c>
      <c r="I42" s="18">
        <f>(H42-H43)*100</f>
        <v/>
      </c>
      <c r="J42" s="17" t="n">
        <v>5.24</v>
      </c>
      <c r="K42" s="18">
        <f>(J42-J43)*100</f>
        <v/>
      </c>
      <c r="L42" s="18">
        <f>(F42-B42)*100</f>
        <v/>
      </c>
      <c r="M42" s="20">
        <f>(L42-$D$9)/$E$9</f>
        <v/>
      </c>
      <c r="N42" s="18">
        <f>(F42-D42)*100</f>
        <v/>
      </c>
      <c r="O42" s="20">
        <f>(N42-$D$10)/$E$10</f>
        <v/>
      </c>
      <c r="P42" s="18">
        <f>(H42-F42)*100</f>
        <v/>
      </c>
      <c r="Q42" s="20">
        <f>(P42-$D$11)/$E$11</f>
        <v/>
      </c>
      <c r="R42" s="18">
        <f>(J42-F42)*100</f>
        <v/>
      </c>
      <c r="S42" s="20">
        <f>(R42-$D$12)/$E$12</f>
        <v/>
      </c>
      <c r="T42" s="18">
        <f>(H42-B42)*100</f>
        <v/>
      </c>
      <c r="U42" s="20">
        <f>(T42-$D$13)/$E$13</f>
        <v/>
      </c>
      <c r="V42" s="18">
        <f>(H42-D42)*100</f>
        <v/>
      </c>
      <c r="W42" s="20">
        <f>(V42-$D$14)/$E$14</f>
        <v/>
      </c>
      <c r="X42" s="18">
        <f>(J42-H42)*100</f>
        <v/>
      </c>
      <c r="Y42" s="20">
        <f>(X42-$D$15)/$E$15</f>
        <v/>
      </c>
      <c r="Z42" s="18">
        <f>(J42-B42)*100</f>
        <v/>
      </c>
      <c r="AA42" s="20">
        <f>(Z42-$D$16)/$E$16</f>
        <v/>
      </c>
      <c r="AB42" s="18">
        <f>(2*F42-B42-H42)*100</f>
        <v/>
      </c>
      <c r="AC42" s="20">
        <f>(AB42-$D$17)/$E$17</f>
        <v/>
      </c>
      <c r="AD42" s="18">
        <f>L42-L43</f>
        <v/>
      </c>
      <c r="AE42" s="18">
        <f>N42-N43</f>
        <v/>
      </c>
      <c r="AF42" s="18">
        <f>P42-P43</f>
        <v/>
      </c>
      <c r="AG42" s="18">
        <f>R42-R43</f>
        <v/>
      </c>
      <c r="AH42" s="18">
        <f>T42-T43</f>
        <v/>
      </c>
      <c r="AI42" s="18">
        <f>V42-V43</f>
        <v/>
      </c>
      <c r="AJ42" s="18">
        <f>X42-X43</f>
        <v/>
      </c>
      <c r="AK42" s="18">
        <f>Z42-Z43</f>
        <v/>
      </c>
      <c r="AL42" s="18">
        <f>AB42-AB43</f>
        <v/>
      </c>
    </row>
    <row r="43">
      <c r="A43" s="16" t="n">
        <v>46244</v>
      </c>
      <c r="B43" s="17" t="n">
        <v>4.25</v>
      </c>
      <c r="C43" s="18">
        <f>(B43-B44)*100</f>
        <v/>
      </c>
      <c r="D43" s="17" t="n">
        <v>4.31</v>
      </c>
      <c r="E43" s="18">
        <f>(D43-D44)*100</f>
        <v/>
      </c>
      <c r="F43" s="17" t="n">
        <v>4.41</v>
      </c>
      <c r="G43" s="18">
        <f>(F43-F44)*100</f>
        <v/>
      </c>
      <c r="H43" s="17" t="n">
        <v>4.72</v>
      </c>
      <c r="I43" s="18">
        <f>(H43-H44)*100</f>
        <v/>
      </c>
      <c r="J43" s="17" t="n">
        <v>5.25</v>
      </c>
      <c r="K43" s="18">
        <f>(J43-J44)*100</f>
        <v/>
      </c>
      <c r="L43" s="18">
        <f>(F43-B43)*100</f>
        <v/>
      </c>
      <c r="M43" s="20">
        <f>(L43-$D$9)/$E$9</f>
        <v/>
      </c>
      <c r="N43" s="18">
        <f>(F43-D43)*100</f>
        <v/>
      </c>
      <c r="O43" s="20">
        <f>(N43-$D$10)/$E$10</f>
        <v/>
      </c>
      <c r="P43" s="18">
        <f>(H43-F43)*100</f>
        <v/>
      </c>
      <c r="Q43" s="20">
        <f>(P43-$D$11)/$E$11</f>
        <v/>
      </c>
      <c r="R43" s="18">
        <f>(J43-F43)*100</f>
        <v/>
      </c>
      <c r="S43" s="20">
        <f>(R43-$D$12)/$E$12</f>
        <v/>
      </c>
      <c r="T43" s="18">
        <f>(H43-B43)*100</f>
        <v/>
      </c>
      <c r="U43" s="20">
        <f>(T43-$D$13)/$E$13</f>
        <v/>
      </c>
      <c r="V43" s="18">
        <f>(H43-D43)*100</f>
        <v/>
      </c>
      <c r="W43" s="20">
        <f>(V43-$D$14)/$E$14</f>
        <v/>
      </c>
      <c r="X43" s="18">
        <f>(J43-H43)*100</f>
        <v/>
      </c>
      <c r="Y43" s="20">
        <f>(X43-$D$15)/$E$15</f>
        <v/>
      </c>
      <c r="Z43" s="18">
        <f>(J43-B43)*100</f>
        <v/>
      </c>
      <c r="AA43" s="20">
        <f>(Z43-$D$16)/$E$16</f>
        <v/>
      </c>
      <c r="AB43" s="18">
        <f>(2*F43-B43-H43)*100</f>
        <v/>
      </c>
      <c r="AC43" s="20">
        <f>(AB43-$D$17)/$E$17</f>
        <v/>
      </c>
      <c r="AD43" s="18">
        <f>L43-L44</f>
        <v/>
      </c>
      <c r="AE43" s="18">
        <f>N43-N44</f>
        <v/>
      </c>
      <c r="AF43" s="18">
        <f>P43-P44</f>
        <v/>
      </c>
      <c r="AG43" s="18">
        <f>R43-R44</f>
        <v/>
      </c>
      <c r="AH43" s="18">
        <f>T43-T44</f>
        <v/>
      </c>
      <c r="AI43" s="18">
        <f>V43-V44</f>
        <v/>
      </c>
      <c r="AJ43" s="18">
        <f>X43-X44</f>
        <v/>
      </c>
      <c r="AK43" s="18">
        <f>Z43-Z44</f>
        <v/>
      </c>
      <c r="AL43" s="18">
        <f>AB43-AB44</f>
        <v/>
      </c>
    </row>
    <row r="44">
      <c r="A44" s="16" t="n">
        <v>46241</v>
      </c>
      <c r="B44" s="17" t="n">
        <v>4.19</v>
      </c>
      <c r="C44" s="18">
        <f>(B44-B45)*100</f>
        <v/>
      </c>
      <c r="D44" s="17" t="n">
        <v>4.25</v>
      </c>
      <c r="E44" s="18">
        <f>(D44-D45)*100</f>
        <v/>
      </c>
      <c r="F44" s="17" t="n">
        <v>4.35</v>
      </c>
      <c r="G44" s="18">
        <f>(F44-F45)*100</f>
        <v/>
      </c>
      <c r="H44" s="17" t="n">
        <v>4.65</v>
      </c>
      <c r="I44" s="18">
        <f>(H44-H45)*100</f>
        <v/>
      </c>
      <c r="J44" s="17" t="n">
        <v>5.19</v>
      </c>
      <c r="K44" s="18">
        <f>(J44-J45)*100</f>
        <v/>
      </c>
      <c r="L44" s="18">
        <f>(F44-B44)*100</f>
        <v/>
      </c>
      <c r="M44" s="20">
        <f>(L44-$D$9)/$E$9</f>
        <v/>
      </c>
      <c r="N44" s="18">
        <f>(F44-D44)*100</f>
        <v/>
      </c>
      <c r="O44" s="20">
        <f>(N44-$D$10)/$E$10</f>
        <v/>
      </c>
      <c r="P44" s="18">
        <f>(H44-F44)*100</f>
        <v/>
      </c>
      <c r="Q44" s="20">
        <f>(P44-$D$11)/$E$11</f>
        <v/>
      </c>
      <c r="R44" s="18">
        <f>(J44-F44)*100</f>
        <v/>
      </c>
      <c r="S44" s="20">
        <f>(R44-$D$12)/$E$12</f>
        <v/>
      </c>
      <c r="T44" s="18">
        <f>(H44-B44)*100</f>
        <v/>
      </c>
      <c r="U44" s="20">
        <f>(T44-$D$13)/$E$13</f>
        <v/>
      </c>
      <c r="V44" s="18">
        <f>(H44-D44)*100</f>
        <v/>
      </c>
      <c r="W44" s="20">
        <f>(V44-$D$14)/$E$14</f>
        <v/>
      </c>
      <c r="X44" s="18">
        <f>(J44-H44)*100</f>
        <v/>
      </c>
      <c r="Y44" s="20">
        <f>(X44-$D$15)/$E$15</f>
        <v/>
      </c>
      <c r="Z44" s="18">
        <f>(J44-B44)*100</f>
        <v/>
      </c>
      <c r="AA44" s="20">
        <f>(Z44-$D$16)/$E$16</f>
        <v/>
      </c>
      <c r="AB44" s="18">
        <f>(2*F44-B44-H44)*100</f>
        <v/>
      </c>
      <c r="AC44" s="20">
        <f>(AB44-$D$17)/$E$17</f>
        <v/>
      </c>
      <c r="AD44" s="18">
        <f>L44-L45</f>
        <v/>
      </c>
      <c r="AE44" s="18">
        <f>N44-N45</f>
        <v/>
      </c>
      <c r="AF44" s="18">
        <f>P44-P45</f>
        <v/>
      </c>
      <c r="AG44" s="18">
        <f>R44-R45</f>
        <v/>
      </c>
      <c r="AH44" s="18">
        <f>T44-T45</f>
        <v/>
      </c>
      <c r="AI44" s="18">
        <f>V44-V45</f>
        <v/>
      </c>
      <c r="AJ44" s="18">
        <f>X44-X45</f>
        <v/>
      </c>
      <c r="AK44" s="18">
        <f>Z44-Z45</f>
        <v/>
      </c>
      <c r="AL44" s="18">
        <f>AB44-AB45</f>
        <v/>
      </c>
    </row>
    <row r="45">
      <c r="A45" s="16" t="n">
        <v>46240</v>
      </c>
      <c r="B45" s="17" t="n">
        <v>4.25</v>
      </c>
      <c r="C45" s="18">
        <f>(B45-B46)*100</f>
        <v/>
      </c>
      <c r="D45" s="17" t="n">
        <v>4.31</v>
      </c>
      <c r="E45" s="18">
        <f>(D45-D46)*100</f>
        <v/>
      </c>
      <c r="F45" s="17" t="n">
        <v>4.4</v>
      </c>
      <c r="G45" s="18">
        <f>(F45-F46)*100</f>
        <v/>
      </c>
      <c r="H45" s="17" t="n">
        <v>4.69</v>
      </c>
      <c r="I45" s="18">
        <f>(H45-H46)*100</f>
        <v/>
      </c>
      <c r="J45" s="17" t="n">
        <v>5.22</v>
      </c>
      <c r="K45" s="18">
        <f>(J45-J46)*100</f>
        <v/>
      </c>
      <c r="L45" s="18">
        <f>(F45-B45)*100</f>
        <v/>
      </c>
      <c r="M45" s="20">
        <f>(L45-$D$9)/$E$9</f>
        <v/>
      </c>
      <c r="N45" s="18">
        <f>(F45-D45)*100</f>
        <v/>
      </c>
      <c r="O45" s="20">
        <f>(N45-$D$10)/$E$10</f>
        <v/>
      </c>
      <c r="P45" s="18">
        <f>(H45-F45)*100</f>
        <v/>
      </c>
      <c r="Q45" s="20">
        <f>(P45-$D$11)/$E$11</f>
        <v/>
      </c>
      <c r="R45" s="18">
        <f>(J45-F45)*100</f>
        <v/>
      </c>
      <c r="S45" s="20">
        <f>(R45-$D$12)/$E$12</f>
        <v/>
      </c>
      <c r="T45" s="18">
        <f>(H45-B45)*100</f>
        <v/>
      </c>
      <c r="U45" s="20">
        <f>(T45-$D$13)/$E$13</f>
        <v/>
      </c>
      <c r="V45" s="18">
        <f>(H45-D45)*100</f>
        <v/>
      </c>
      <c r="W45" s="20">
        <f>(V45-$D$14)/$E$14</f>
        <v/>
      </c>
      <c r="X45" s="18">
        <f>(J45-H45)*100</f>
        <v/>
      </c>
      <c r="Y45" s="20">
        <f>(X45-$D$15)/$E$15</f>
        <v/>
      </c>
      <c r="Z45" s="18">
        <f>(J45-B45)*100</f>
        <v/>
      </c>
      <c r="AA45" s="20">
        <f>(Z45-$D$16)/$E$16</f>
        <v/>
      </c>
      <c r="AB45" s="18">
        <f>(2*F45-B45-H45)*100</f>
        <v/>
      </c>
      <c r="AC45" s="20">
        <f>(AB45-$D$17)/$E$17</f>
        <v/>
      </c>
      <c r="AD45" s="18">
        <f>L45-L46</f>
        <v/>
      </c>
      <c r="AE45" s="18">
        <f>N45-N46</f>
        <v/>
      </c>
      <c r="AF45" s="18">
        <f>P45-P46</f>
        <v/>
      </c>
      <c r="AG45" s="18">
        <f>R45-R46</f>
        <v/>
      </c>
      <c r="AH45" s="18">
        <f>T45-T46</f>
        <v/>
      </c>
      <c r="AI45" s="18">
        <f>V45-V46</f>
        <v/>
      </c>
      <c r="AJ45" s="18">
        <f>X45-X46</f>
        <v/>
      </c>
      <c r="AK45" s="18">
        <f>Z45-Z46</f>
        <v/>
      </c>
      <c r="AL45" s="18">
        <f>AB45-AB46</f>
        <v/>
      </c>
    </row>
    <row r="46">
      <c r="A46" s="16" t="n">
        <v>46239</v>
      </c>
      <c r="B46" s="17" t="n">
        <v>4.18</v>
      </c>
      <c r="C46" s="18">
        <f>(B46-B47)*100</f>
        <v/>
      </c>
      <c r="D46" s="17" t="n">
        <v>4.24</v>
      </c>
      <c r="E46" s="18">
        <f>(D46-D47)*100</f>
        <v/>
      </c>
      <c r="F46" s="17" t="n">
        <v>4.33</v>
      </c>
      <c r="G46" s="18">
        <f>(F46-F47)*100</f>
        <v/>
      </c>
      <c r="H46" s="17" t="n">
        <v>4.63</v>
      </c>
      <c r="I46" s="18">
        <f>(H46-H47)*100</f>
        <v/>
      </c>
      <c r="J46" s="17" t="n">
        <v>5.17</v>
      </c>
      <c r="K46" s="18">
        <f>(J46-J47)*100</f>
        <v/>
      </c>
      <c r="L46" s="18">
        <f>(F46-B46)*100</f>
        <v/>
      </c>
      <c r="M46" s="20">
        <f>(L46-$D$9)/$E$9</f>
        <v/>
      </c>
      <c r="N46" s="18">
        <f>(F46-D46)*100</f>
        <v/>
      </c>
      <c r="O46" s="20">
        <f>(N46-$D$10)/$E$10</f>
        <v/>
      </c>
      <c r="P46" s="18">
        <f>(H46-F46)*100</f>
        <v/>
      </c>
      <c r="Q46" s="20">
        <f>(P46-$D$11)/$E$11</f>
        <v/>
      </c>
      <c r="R46" s="18">
        <f>(J46-F46)*100</f>
        <v/>
      </c>
      <c r="S46" s="20">
        <f>(R46-$D$12)/$E$12</f>
        <v/>
      </c>
      <c r="T46" s="18">
        <f>(H46-B46)*100</f>
        <v/>
      </c>
      <c r="U46" s="20">
        <f>(T46-$D$13)/$E$13</f>
        <v/>
      </c>
      <c r="V46" s="18">
        <f>(H46-D46)*100</f>
        <v/>
      </c>
      <c r="W46" s="20">
        <f>(V46-$D$14)/$E$14</f>
        <v/>
      </c>
      <c r="X46" s="18">
        <f>(J46-H46)*100</f>
        <v/>
      </c>
      <c r="Y46" s="20">
        <f>(X46-$D$15)/$E$15</f>
        <v/>
      </c>
      <c r="Z46" s="18">
        <f>(J46-B46)*100</f>
        <v/>
      </c>
      <c r="AA46" s="20">
        <f>(Z46-$D$16)/$E$16</f>
        <v/>
      </c>
      <c r="AB46" s="18">
        <f>(2*F46-B46-H46)*100</f>
        <v/>
      </c>
      <c r="AC46" s="20">
        <f>(AB46-$D$17)/$E$17</f>
        <v/>
      </c>
      <c r="AD46" s="18">
        <f>L46-L47</f>
        <v/>
      </c>
      <c r="AE46" s="18">
        <f>N46-N47</f>
        <v/>
      </c>
      <c r="AF46" s="18">
        <f>P46-P47</f>
        <v/>
      </c>
      <c r="AG46" s="18">
        <f>R46-R47</f>
        <v/>
      </c>
      <c r="AH46" s="18">
        <f>T46-T47</f>
        <v/>
      </c>
      <c r="AI46" s="18">
        <f>V46-V47</f>
        <v/>
      </c>
      <c r="AJ46" s="18">
        <f>X46-X47</f>
        <v/>
      </c>
      <c r="AK46" s="18">
        <f>Z46-Z47</f>
        <v/>
      </c>
      <c r="AL46" s="18">
        <f>AB46-AB47</f>
        <v/>
      </c>
    </row>
    <row r="47">
      <c r="A47" s="16" t="n">
        <v>46238</v>
      </c>
      <c r="B47" s="17" t="n">
        <v>4.2</v>
      </c>
      <c r="C47" s="18">
        <f>(B47-B48)*100</f>
        <v/>
      </c>
      <c r="D47" s="17" t="n">
        <v>4.25</v>
      </c>
      <c r="E47" s="18">
        <f>(D47-D48)*100</f>
        <v/>
      </c>
      <c r="F47" s="17" t="n">
        <v>4.33</v>
      </c>
      <c r="G47" s="18">
        <f>(F47-F48)*100</f>
        <v/>
      </c>
      <c r="H47" s="17" t="n">
        <v>4.63</v>
      </c>
      <c r="I47" s="18">
        <f>(H47-H48)*100</f>
        <v/>
      </c>
      <c r="J47" s="17" t="n">
        <v>5.18</v>
      </c>
      <c r="K47" s="18">
        <f>(J47-J48)*100</f>
        <v/>
      </c>
      <c r="L47" s="18">
        <f>(F47-B47)*100</f>
        <v/>
      </c>
      <c r="M47" s="20">
        <f>(L47-$D$9)/$E$9</f>
        <v/>
      </c>
      <c r="N47" s="18">
        <f>(F47-D47)*100</f>
        <v/>
      </c>
      <c r="O47" s="20">
        <f>(N47-$D$10)/$E$10</f>
        <v/>
      </c>
      <c r="P47" s="18">
        <f>(H47-F47)*100</f>
        <v/>
      </c>
      <c r="Q47" s="20">
        <f>(P47-$D$11)/$E$11</f>
        <v/>
      </c>
      <c r="R47" s="18">
        <f>(J47-F47)*100</f>
        <v/>
      </c>
      <c r="S47" s="20">
        <f>(R47-$D$12)/$E$12</f>
        <v/>
      </c>
      <c r="T47" s="18">
        <f>(H47-B47)*100</f>
        <v/>
      </c>
      <c r="U47" s="20">
        <f>(T47-$D$13)/$E$13</f>
        <v/>
      </c>
      <c r="V47" s="18">
        <f>(H47-D47)*100</f>
        <v/>
      </c>
      <c r="W47" s="20">
        <f>(V47-$D$14)/$E$14</f>
        <v/>
      </c>
      <c r="X47" s="18">
        <f>(J47-H47)*100</f>
        <v/>
      </c>
      <c r="Y47" s="20">
        <f>(X47-$D$15)/$E$15</f>
        <v/>
      </c>
      <c r="Z47" s="18">
        <f>(J47-B47)*100</f>
        <v/>
      </c>
      <c r="AA47" s="20">
        <f>(Z47-$D$16)/$E$16</f>
        <v/>
      </c>
      <c r="AB47" s="18">
        <f>(2*F47-B47-H47)*100</f>
        <v/>
      </c>
      <c r="AC47" s="20">
        <f>(AB47-$D$17)/$E$17</f>
        <v/>
      </c>
      <c r="AD47" s="18">
        <f>L47-L48</f>
        <v/>
      </c>
      <c r="AE47" s="18">
        <f>N47-N48</f>
        <v/>
      </c>
      <c r="AF47" s="18">
        <f>P47-P48</f>
        <v/>
      </c>
      <c r="AG47" s="18">
        <f>R47-R48</f>
        <v/>
      </c>
      <c r="AH47" s="18">
        <f>T47-T48</f>
        <v/>
      </c>
      <c r="AI47" s="18">
        <f>V47-V48</f>
        <v/>
      </c>
      <c r="AJ47" s="18">
        <f>X47-X48</f>
        <v/>
      </c>
      <c r="AK47" s="18">
        <f>Z47-Z48</f>
        <v/>
      </c>
      <c r="AL47" s="18">
        <f>AB47-AB48</f>
        <v/>
      </c>
    </row>
    <row r="48">
      <c r="A48" s="16" t="n">
        <v>46237</v>
      </c>
      <c r="B48" s="17" t="n">
        <v>4.25</v>
      </c>
      <c r="C48" s="18">
        <f>(B48-B49)*100</f>
        <v/>
      </c>
      <c r="D48" s="17" t="n">
        <v>4.32</v>
      </c>
      <c r="E48" s="18">
        <f>(D48-D49)*100</f>
        <v/>
      </c>
      <c r="F48" s="17" t="n">
        <v>4.4</v>
      </c>
      <c r="G48" s="18">
        <f>(F48-F49)*100</f>
        <v/>
      </c>
      <c r="H48" s="17" t="n">
        <v>4.7</v>
      </c>
      <c r="I48" s="18">
        <f>(H48-H49)*100</f>
        <v/>
      </c>
      <c r="J48" s="17" t="n">
        <v>5.23</v>
      </c>
      <c r="K48" s="18">
        <f>(J48-J49)*100</f>
        <v/>
      </c>
      <c r="L48" s="18">
        <f>(F48-B48)*100</f>
        <v/>
      </c>
      <c r="M48" s="20">
        <f>(L48-$D$9)/$E$9</f>
        <v/>
      </c>
      <c r="N48" s="18">
        <f>(F48-D48)*100</f>
        <v/>
      </c>
      <c r="O48" s="20">
        <f>(N48-$D$10)/$E$10</f>
        <v/>
      </c>
      <c r="P48" s="18">
        <f>(H48-F48)*100</f>
        <v/>
      </c>
      <c r="Q48" s="20">
        <f>(P48-$D$11)/$E$11</f>
        <v/>
      </c>
      <c r="R48" s="18">
        <f>(J48-F48)*100</f>
        <v/>
      </c>
      <c r="S48" s="20">
        <f>(R48-$D$12)/$E$12</f>
        <v/>
      </c>
      <c r="T48" s="18">
        <f>(H48-B48)*100</f>
        <v/>
      </c>
      <c r="U48" s="20">
        <f>(T48-$D$13)/$E$13</f>
        <v/>
      </c>
      <c r="V48" s="18">
        <f>(H48-D48)*100</f>
        <v/>
      </c>
      <c r="W48" s="20">
        <f>(V48-$D$14)/$E$14</f>
        <v/>
      </c>
      <c r="X48" s="18">
        <f>(J48-H48)*100</f>
        <v/>
      </c>
      <c r="Y48" s="20">
        <f>(X48-$D$15)/$E$15</f>
        <v/>
      </c>
      <c r="Z48" s="18">
        <f>(J48-B48)*100</f>
        <v/>
      </c>
      <c r="AA48" s="20">
        <f>(Z48-$D$16)/$E$16</f>
        <v/>
      </c>
      <c r="AB48" s="18">
        <f>(2*F48-B48-H48)*100</f>
        <v/>
      </c>
      <c r="AC48" s="20">
        <f>(AB48-$D$17)/$E$17</f>
        <v/>
      </c>
      <c r="AD48" s="18">
        <f>L48-L49</f>
        <v/>
      </c>
      <c r="AE48" s="18">
        <f>N48-N49</f>
        <v/>
      </c>
      <c r="AF48" s="18">
        <f>P48-P49</f>
        <v/>
      </c>
      <c r="AG48" s="18">
        <f>R48-R49</f>
        <v/>
      </c>
      <c r="AH48" s="18">
        <f>T48-T49</f>
        <v/>
      </c>
      <c r="AI48" s="18">
        <f>V48-V49</f>
        <v/>
      </c>
      <c r="AJ48" s="18">
        <f>X48-X49</f>
        <v/>
      </c>
      <c r="AK48" s="18">
        <f>Z48-Z49</f>
        <v/>
      </c>
      <c r="AL48" s="18">
        <f>AB48-AB49</f>
        <v/>
      </c>
    </row>
    <row r="49">
      <c r="A49" s="16" t="n">
        <v>46234</v>
      </c>
      <c r="B49" s="17" t="n">
        <v>4.28</v>
      </c>
      <c r="C49" s="18">
        <f>(B49-B50)*100</f>
        <v/>
      </c>
      <c r="D49" s="17" t="n">
        <v>4.34</v>
      </c>
      <c r="E49" s="18">
        <f>(D49-D50)*100</f>
        <v/>
      </c>
      <c r="F49" s="17" t="n">
        <v>4.45</v>
      </c>
      <c r="G49" s="18">
        <f>(F49-F50)*100</f>
        <v/>
      </c>
      <c r="H49" s="17" t="n">
        <v>4.75</v>
      </c>
      <c r="I49" s="18">
        <f>(H49-H50)*100</f>
        <v/>
      </c>
      <c r="J49" s="17" t="n">
        <v>5.27</v>
      </c>
      <c r="K49" s="18">
        <f>(J49-J50)*100</f>
        <v/>
      </c>
      <c r="L49" s="18">
        <f>(F49-B49)*100</f>
        <v/>
      </c>
      <c r="M49" s="20">
        <f>(L49-$D$9)/$E$9</f>
        <v/>
      </c>
      <c r="N49" s="18">
        <f>(F49-D49)*100</f>
        <v/>
      </c>
      <c r="O49" s="20">
        <f>(N49-$D$10)/$E$10</f>
        <v/>
      </c>
      <c r="P49" s="18">
        <f>(H49-F49)*100</f>
        <v/>
      </c>
      <c r="Q49" s="20">
        <f>(P49-$D$11)/$E$11</f>
        <v/>
      </c>
      <c r="R49" s="18">
        <f>(J49-F49)*100</f>
        <v/>
      </c>
      <c r="S49" s="20">
        <f>(R49-$D$12)/$E$12</f>
        <v/>
      </c>
      <c r="T49" s="18">
        <f>(H49-B49)*100</f>
        <v/>
      </c>
      <c r="U49" s="20">
        <f>(T49-$D$13)/$E$13</f>
        <v/>
      </c>
      <c r="V49" s="18">
        <f>(H49-D49)*100</f>
        <v/>
      </c>
      <c r="W49" s="20">
        <f>(V49-$D$14)/$E$14</f>
        <v/>
      </c>
      <c r="X49" s="18">
        <f>(J49-H49)*100</f>
        <v/>
      </c>
      <c r="Y49" s="20">
        <f>(X49-$D$15)/$E$15</f>
        <v/>
      </c>
      <c r="Z49" s="18">
        <f>(J49-B49)*100</f>
        <v/>
      </c>
      <c r="AA49" s="20">
        <f>(Z49-$D$16)/$E$16</f>
        <v/>
      </c>
      <c r="AB49" s="18">
        <f>(2*F49-B49-H49)*100</f>
        <v/>
      </c>
      <c r="AC49" s="20">
        <f>(AB49-$D$17)/$E$17</f>
        <v/>
      </c>
      <c r="AD49" s="18">
        <f>L49-L50</f>
        <v/>
      </c>
      <c r="AE49" s="18">
        <f>N49-N50</f>
        <v/>
      </c>
      <c r="AF49" s="18">
        <f>P49-P50</f>
        <v/>
      </c>
      <c r="AG49" s="18">
        <f>R49-R50</f>
        <v/>
      </c>
      <c r="AH49" s="18">
        <f>T49-T50</f>
        <v/>
      </c>
      <c r="AI49" s="18">
        <f>V49-V50</f>
        <v/>
      </c>
      <c r="AJ49" s="18">
        <f>X49-X50</f>
        <v/>
      </c>
      <c r="AK49" s="18">
        <f>Z49-Z50</f>
        <v/>
      </c>
      <c r="AL49" s="18">
        <f>AB49-AB50</f>
        <v/>
      </c>
    </row>
    <row r="50">
      <c r="A50" s="16" t="n">
        <v>46233</v>
      </c>
      <c r="B50" s="17" t="n">
        <v>4.23</v>
      </c>
      <c r="C50" s="18">
        <f>(B50-B51)*100</f>
        <v/>
      </c>
      <c r="D50" s="17" t="n">
        <v>4.3</v>
      </c>
      <c r="E50" s="18">
        <f>(D50-D51)*100</f>
        <v/>
      </c>
      <c r="F50" s="17" t="n">
        <v>4.38</v>
      </c>
      <c r="G50" s="18">
        <f>(F50-F51)*100</f>
        <v/>
      </c>
      <c r="H50" s="17" t="n">
        <v>4.68</v>
      </c>
      <c r="I50" s="18">
        <f>(H50-H51)*100</f>
        <v/>
      </c>
      <c r="J50" s="17" t="n">
        <v>5.21</v>
      </c>
      <c r="K50" s="18">
        <f>(J50-J51)*100</f>
        <v/>
      </c>
      <c r="L50" s="18">
        <f>(F50-B50)*100</f>
        <v/>
      </c>
      <c r="M50" s="20">
        <f>(L50-$D$9)/$E$9</f>
        <v/>
      </c>
      <c r="N50" s="18">
        <f>(F50-D50)*100</f>
        <v/>
      </c>
      <c r="O50" s="20">
        <f>(N50-$D$10)/$E$10</f>
        <v/>
      </c>
      <c r="P50" s="18">
        <f>(H50-F50)*100</f>
        <v/>
      </c>
      <c r="Q50" s="20">
        <f>(P50-$D$11)/$E$11</f>
        <v/>
      </c>
      <c r="R50" s="18">
        <f>(J50-F50)*100</f>
        <v/>
      </c>
      <c r="S50" s="20">
        <f>(R50-$D$12)/$E$12</f>
        <v/>
      </c>
      <c r="T50" s="18">
        <f>(H50-B50)*100</f>
        <v/>
      </c>
      <c r="U50" s="20">
        <f>(T50-$D$13)/$E$13</f>
        <v/>
      </c>
      <c r="V50" s="18">
        <f>(H50-D50)*100</f>
        <v/>
      </c>
      <c r="W50" s="20">
        <f>(V50-$D$14)/$E$14</f>
        <v/>
      </c>
      <c r="X50" s="18">
        <f>(J50-H50)*100</f>
        <v/>
      </c>
      <c r="Y50" s="20">
        <f>(X50-$D$15)/$E$15</f>
        <v/>
      </c>
      <c r="Z50" s="18">
        <f>(J50-B50)*100</f>
        <v/>
      </c>
      <c r="AA50" s="20">
        <f>(Z50-$D$16)/$E$16</f>
        <v/>
      </c>
      <c r="AB50" s="18">
        <f>(2*F50-B50-H50)*100</f>
        <v/>
      </c>
      <c r="AC50" s="20">
        <f>(AB50-$D$17)/$E$17</f>
        <v/>
      </c>
      <c r="AD50" s="18">
        <f>L50-L51</f>
        <v/>
      </c>
      <c r="AE50" s="18">
        <f>N50-N51</f>
        <v/>
      </c>
      <c r="AF50" s="18">
        <f>P50-P51</f>
        <v/>
      </c>
      <c r="AG50" s="18">
        <f>R50-R51</f>
        <v/>
      </c>
      <c r="AH50" s="18">
        <f>T50-T51</f>
        <v/>
      </c>
      <c r="AI50" s="18">
        <f>V50-V51</f>
        <v/>
      </c>
      <c r="AJ50" s="18">
        <f>X50-X51</f>
        <v/>
      </c>
      <c r="AK50" s="18">
        <f>Z50-Z51</f>
        <v/>
      </c>
      <c r="AL50" s="18">
        <f>AB50-AB51</f>
        <v/>
      </c>
    </row>
    <row r="51">
      <c r="A51" s="16" t="n">
        <v>46232</v>
      </c>
      <c r="B51" s="17" t="n">
        <v>4.22</v>
      </c>
      <c r="C51" s="18">
        <f>(B51-B52)*100</f>
        <v/>
      </c>
      <c r="D51" s="17" t="n">
        <v>4.29</v>
      </c>
      <c r="E51" s="18">
        <f>(D51-D52)*100</f>
        <v/>
      </c>
      <c r="F51" s="17" t="n">
        <v>4.37</v>
      </c>
      <c r="G51" s="18">
        <f>(F51-F52)*100</f>
        <v/>
      </c>
      <c r="H51" s="17" t="n">
        <v>4.67</v>
      </c>
      <c r="I51" s="18">
        <f>(H51-H52)*100</f>
        <v/>
      </c>
      <c r="J51" s="17" t="n">
        <v>5.2</v>
      </c>
      <c r="K51" s="18">
        <f>(J51-J52)*100</f>
        <v/>
      </c>
      <c r="L51" s="18">
        <f>(F51-B51)*100</f>
        <v/>
      </c>
      <c r="M51" s="20">
        <f>(L51-$D$9)/$E$9</f>
        <v/>
      </c>
      <c r="N51" s="18">
        <f>(F51-D51)*100</f>
        <v/>
      </c>
      <c r="O51" s="20">
        <f>(N51-$D$10)/$E$10</f>
        <v/>
      </c>
      <c r="P51" s="18">
        <f>(H51-F51)*100</f>
        <v/>
      </c>
      <c r="Q51" s="20">
        <f>(P51-$D$11)/$E$11</f>
        <v/>
      </c>
      <c r="R51" s="18">
        <f>(J51-F51)*100</f>
        <v/>
      </c>
      <c r="S51" s="20">
        <f>(R51-$D$12)/$E$12</f>
        <v/>
      </c>
      <c r="T51" s="18">
        <f>(H51-B51)*100</f>
        <v/>
      </c>
      <c r="U51" s="20">
        <f>(T51-$D$13)/$E$13</f>
        <v/>
      </c>
      <c r="V51" s="18">
        <f>(H51-D51)*100</f>
        <v/>
      </c>
      <c r="W51" s="20">
        <f>(V51-$D$14)/$E$14</f>
        <v/>
      </c>
      <c r="X51" s="18">
        <f>(J51-H51)*100</f>
        <v/>
      </c>
      <c r="Y51" s="20">
        <f>(X51-$D$15)/$E$15</f>
        <v/>
      </c>
      <c r="Z51" s="18">
        <f>(J51-B51)*100</f>
        <v/>
      </c>
      <c r="AA51" s="20">
        <f>(Z51-$D$16)/$E$16</f>
        <v/>
      </c>
      <c r="AB51" s="18">
        <f>(2*F51-B51-H51)*100</f>
        <v/>
      </c>
      <c r="AC51" s="20">
        <f>(AB51-$D$17)/$E$17</f>
        <v/>
      </c>
      <c r="AD51" s="18">
        <f>L51-L52</f>
        <v/>
      </c>
      <c r="AE51" s="18">
        <f>N51-N52</f>
        <v/>
      </c>
      <c r="AF51" s="18">
        <f>P51-P52</f>
        <v/>
      </c>
      <c r="AG51" s="18">
        <f>R51-R52</f>
        <v/>
      </c>
      <c r="AH51" s="18">
        <f>T51-T52</f>
        <v/>
      </c>
      <c r="AI51" s="18">
        <f>V51-V52</f>
        <v/>
      </c>
      <c r="AJ51" s="18">
        <f>X51-X52</f>
        <v/>
      </c>
      <c r="AK51" s="18">
        <f>Z51-Z52</f>
        <v/>
      </c>
      <c r="AL51" s="18">
        <f>AB51-AB52</f>
        <v/>
      </c>
    </row>
    <row r="52">
      <c r="A52" s="16" t="n">
        <v>46231</v>
      </c>
      <c r="B52" s="17" t="n">
        <v>4.26</v>
      </c>
      <c r="C52" s="18">
        <f>(B52-B53)*100</f>
        <v/>
      </c>
      <c r="D52" s="17" t="n">
        <v>4.31</v>
      </c>
      <c r="E52" s="18">
        <f>(D52-D53)*100</f>
        <v/>
      </c>
      <c r="F52" s="17" t="n">
        <v>4.35</v>
      </c>
      <c r="G52" s="18">
        <f>(F52-F53)*100</f>
        <v/>
      </c>
      <c r="H52" s="17" t="n">
        <v>4.61</v>
      </c>
      <c r="I52" s="18">
        <f>(H52-H53)*100</f>
        <v/>
      </c>
      <c r="J52" s="17" t="n">
        <v>5.09</v>
      </c>
      <c r="K52" s="18">
        <f>(J52-J53)*100</f>
        <v/>
      </c>
      <c r="L52" s="18">
        <f>(F52-B52)*100</f>
        <v/>
      </c>
      <c r="M52" s="20">
        <f>(L52-$D$9)/$E$9</f>
        <v/>
      </c>
      <c r="N52" s="18">
        <f>(F52-D52)*100</f>
        <v/>
      </c>
      <c r="O52" s="20">
        <f>(N52-$D$10)/$E$10</f>
        <v/>
      </c>
      <c r="P52" s="18">
        <f>(H52-F52)*100</f>
        <v/>
      </c>
      <c r="Q52" s="20">
        <f>(P52-$D$11)/$E$11</f>
        <v/>
      </c>
      <c r="R52" s="18">
        <f>(J52-F52)*100</f>
        <v/>
      </c>
      <c r="S52" s="20">
        <f>(R52-$D$12)/$E$12</f>
        <v/>
      </c>
      <c r="T52" s="18">
        <f>(H52-B52)*100</f>
        <v/>
      </c>
      <c r="U52" s="20">
        <f>(T52-$D$13)/$E$13</f>
        <v/>
      </c>
      <c r="V52" s="18">
        <f>(H52-D52)*100</f>
        <v/>
      </c>
      <c r="W52" s="20">
        <f>(V52-$D$14)/$E$14</f>
        <v/>
      </c>
      <c r="X52" s="18">
        <f>(J52-H52)*100</f>
        <v/>
      </c>
      <c r="Y52" s="20">
        <f>(X52-$D$15)/$E$15</f>
        <v/>
      </c>
      <c r="Z52" s="18">
        <f>(J52-B52)*100</f>
        <v/>
      </c>
      <c r="AA52" s="20">
        <f>(Z52-$D$16)/$E$16</f>
        <v/>
      </c>
      <c r="AB52" s="18">
        <f>(2*F52-B52-H52)*100</f>
        <v/>
      </c>
      <c r="AC52" s="20">
        <f>(AB52-$D$17)/$E$17</f>
        <v/>
      </c>
      <c r="AD52" s="18">
        <f>L52-L53</f>
        <v/>
      </c>
      <c r="AE52" s="18">
        <f>N52-N53</f>
        <v/>
      </c>
      <c r="AF52" s="18">
        <f>P52-P53</f>
        <v/>
      </c>
      <c r="AG52" s="18">
        <f>R52-R53</f>
        <v/>
      </c>
      <c r="AH52" s="18">
        <f>T52-T53</f>
        <v/>
      </c>
      <c r="AI52" s="18">
        <f>V52-V53</f>
        <v/>
      </c>
      <c r="AJ52" s="18">
        <f>X52-X53</f>
        <v/>
      </c>
      <c r="AK52" s="18">
        <f>Z52-Z53</f>
        <v/>
      </c>
      <c r="AL52" s="18">
        <f>AB52-AB53</f>
        <v/>
      </c>
    </row>
    <row r="53">
      <c r="A53" s="16" t="n">
        <v>46230</v>
      </c>
      <c r="B53" s="17" t="n">
        <v>4.31</v>
      </c>
      <c r="C53" s="18">
        <f>(B53-B54)*100</f>
        <v/>
      </c>
      <c r="D53" s="17" t="n">
        <v>4.35</v>
      </c>
      <c r="E53" s="18">
        <f>(D53-D54)*100</f>
        <v/>
      </c>
      <c r="F53" s="17" t="n">
        <v>4.4</v>
      </c>
      <c r="G53" s="18">
        <f>(F53-F54)*100</f>
        <v/>
      </c>
      <c r="H53" s="17" t="n">
        <v>4.65</v>
      </c>
      <c r="I53" s="18">
        <f>(H53-H54)*100</f>
        <v/>
      </c>
      <c r="J53" s="17" t="n">
        <v>5.12</v>
      </c>
      <c r="K53" s="18">
        <f>(J53-J54)*100</f>
        <v/>
      </c>
      <c r="L53" s="18">
        <f>(F53-B53)*100</f>
        <v/>
      </c>
      <c r="M53" s="20">
        <f>(L53-$D$9)/$E$9</f>
        <v/>
      </c>
      <c r="N53" s="18">
        <f>(F53-D53)*100</f>
        <v/>
      </c>
      <c r="O53" s="20">
        <f>(N53-$D$10)/$E$10</f>
        <v/>
      </c>
      <c r="P53" s="18">
        <f>(H53-F53)*100</f>
        <v/>
      </c>
      <c r="Q53" s="20">
        <f>(P53-$D$11)/$E$11</f>
        <v/>
      </c>
      <c r="R53" s="18">
        <f>(J53-F53)*100</f>
        <v/>
      </c>
      <c r="S53" s="20">
        <f>(R53-$D$12)/$E$12</f>
        <v/>
      </c>
      <c r="T53" s="18">
        <f>(H53-B53)*100</f>
        <v/>
      </c>
      <c r="U53" s="20">
        <f>(T53-$D$13)/$E$13</f>
        <v/>
      </c>
      <c r="V53" s="18">
        <f>(H53-D53)*100</f>
        <v/>
      </c>
      <c r="W53" s="20">
        <f>(V53-$D$14)/$E$14</f>
        <v/>
      </c>
      <c r="X53" s="18">
        <f>(J53-H53)*100</f>
        <v/>
      </c>
      <c r="Y53" s="20">
        <f>(X53-$D$15)/$E$15</f>
        <v/>
      </c>
      <c r="Z53" s="18">
        <f>(J53-B53)*100</f>
        <v/>
      </c>
      <c r="AA53" s="20">
        <f>(Z53-$D$16)/$E$16</f>
        <v/>
      </c>
      <c r="AB53" s="18">
        <f>(2*F53-B53-H53)*100</f>
        <v/>
      </c>
      <c r="AC53" s="20">
        <f>(AB53-$D$17)/$E$17</f>
        <v/>
      </c>
      <c r="AD53" s="18">
        <f>L53-L54</f>
        <v/>
      </c>
      <c r="AE53" s="18">
        <f>N53-N54</f>
        <v/>
      </c>
      <c r="AF53" s="18">
        <f>P53-P54</f>
        <v/>
      </c>
      <c r="AG53" s="18">
        <f>R53-R54</f>
        <v/>
      </c>
      <c r="AH53" s="18">
        <f>T53-T54</f>
        <v/>
      </c>
      <c r="AI53" s="18">
        <f>V53-V54</f>
        <v/>
      </c>
      <c r="AJ53" s="18">
        <f>X53-X54</f>
        <v/>
      </c>
      <c r="AK53" s="18">
        <f>Z53-Z54</f>
        <v/>
      </c>
      <c r="AL53" s="18">
        <f>AB53-AB54</f>
        <v/>
      </c>
    </row>
    <row r="54">
      <c r="A54" s="16" t="n">
        <v>46227</v>
      </c>
      <c r="B54" s="17" t="n">
        <v>4.33</v>
      </c>
      <c r="C54" s="18">
        <f>(B54-B55)*100</f>
        <v/>
      </c>
      <c r="D54" s="17" t="n">
        <v>4.36</v>
      </c>
      <c r="E54" s="18">
        <f>(D54-D55)*100</f>
        <v/>
      </c>
      <c r="F54" s="17" t="n">
        <v>4.43</v>
      </c>
      <c r="G54" s="18">
        <f>(F54-F55)*100</f>
        <v/>
      </c>
      <c r="H54" s="17" t="n">
        <v>4.69</v>
      </c>
      <c r="I54" s="18">
        <f>(H54-H55)*100</f>
        <v/>
      </c>
      <c r="J54" s="17" t="n">
        <v>5.16</v>
      </c>
      <c r="K54" s="18">
        <f>(J54-J55)*100</f>
        <v/>
      </c>
      <c r="L54" s="18">
        <f>(F54-B54)*100</f>
        <v/>
      </c>
      <c r="M54" s="20">
        <f>(L54-$D$9)/$E$9</f>
        <v/>
      </c>
      <c r="N54" s="18">
        <f>(F54-D54)*100</f>
        <v/>
      </c>
      <c r="O54" s="20">
        <f>(N54-$D$10)/$E$10</f>
        <v/>
      </c>
      <c r="P54" s="18">
        <f>(H54-F54)*100</f>
        <v/>
      </c>
      <c r="Q54" s="20">
        <f>(P54-$D$11)/$E$11</f>
        <v/>
      </c>
      <c r="R54" s="18">
        <f>(J54-F54)*100</f>
        <v/>
      </c>
      <c r="S54" s="20">
        <f>(R54-$D$12)/$E$12</f>
        <v/>
      </c>
      <c r="T54" s="18">
        <f>(H54-B54)*100</f>
        <v/>
      </c>
      <c r="U54" s="20">
        <f>(T54-$D$13)/$E$13</f>
        <v/>
      </c>
      <c r="V54" s="18">
        <f>(H54-D54)*100</f>
        <v/>
      </c>
      <c r="W54" s="20">
        <f>(V54-$D$14)/$E$14</f>
        <v/>
      </c>
      <c r="X54" s="18">
        <f>(J54-H54)*100</f>
        <v/>
      </c>
      <c r="Y54" s="20">
        <f>(X54-$D$15)/$E$15</f>
        <v/>
      </c>
      <c r="Z54" s="18">
        <f>(J54-B54)*100</f>
        <v/>
      </c>
      <c r="AA54" s="20">
        <f>(Z54-$D$16)/$E$16</f>
        <v/>
      </c>
      <c r="AB54" s="18">
        <f>(2*F54-B54-H54)*100</f>
        <v/>
      </c>
      <c r="AC54" s="20">
        <f>(AB54-$D$17)/$E$17</f>
        <v/>
      </c>
      <c r="AD54" s="18">
        <f>L54-L55</f>
        <v/>
      </c>
      <c r="AE54" s="18">
        <f>N54-N55</f>
        <v/>
      </c>
      <c r="AF54" s="18">
        <f>P54-P55</f>
        <v/>
      </c>
      <c r="AG54" s="18">
        <f>R54-R55</f>
        <v/>
      </c>
      <c r="AH54" s="18">
        <f>T54-T55</f>
        <v/>
      </c>
      <c r="AI54" s="18">
        <f>V54-V55</f>
        <v/>
      </c>
      <c r="AJ54" s="18">
        <f>X54-X55</f>
        <v/>
      </c>
      <c r="AK54" s="18">
        <f>Z54-Z55</f>
        <v/>
      </c>
      <c r="AL54" s="18">
        <f>AB54-AB55</f>
        <v/>
      </c>
    </row>
    <row r="55">
      <c r="A55" s="16" t="n">
        <v>46226</v>
      </c>
      <c r="B55" s="17" t="n">
        <v>4.37</v>
      </c>
      <c r="C55" s="18">
        <f>(B55-B56)*100</f>
        <v/>
      </c>
      <c r="D55" s="17" t="n">
        <v>4.4</v>
      </c>
      <c r="E55" s="18">
        <f>(D55-D56)*100</f>
        <v/>
      </c>
      <c r="F55" s="17" t="n">
        <v>4.46</v>
      </c>
      <c r="G55" s="18">
        <f>(F55-F56)*100</f>
        <v/>
      </c>
      <c r="H55" s="17" t="n">
        <v>4.71</v>
      </c>
      <c r="I55" s="18">
        <f>(H55-H56)*100</f>
        <v/>
      </c>
      <c r="J55" s="17" t="n">
        <v>5.17</v>
      </c>
      <c r="K55" s="18">
        <f>(J55-J56)*100</f>
        <v/>
      </c>
      <c r="L55" s="18">
        <f>(F55-B55)*100</f>
        <v/>
      </c>
      <c r="M55" s="20">
        <f>(L55-$D$9)/$E$9</f>
        <v/>
      </c>
      <c r="N55" s="18">
        <f>(F55-D55)*100</f>
        <v/>
      </c>
      <c r="O55" s="20">
        <f>(N55-$D$10)/$E$10</f>
        <v/>
      </c>
      <c r="P55" s="18">
        <f>(H55-F55)*100</f>
        <v/>
      </c>
      <c r="Q55" s="20">
        <f>(P55-$D$11)/$E$11</f>
        <v/>
      </c>
      <c r="R55" s="18">
        <f>(J55-F55)*100</f>
        <v/>
      </c>
      <c r="S55" s="20">
        <f>(R55-$D$12)/$E$12</f>
        <v/>
      </c>
      <c r="T55" s="18">
        <f>(H55-B55)*100</f>
        <v/>
      </c>
      <c r="U55" s="20">
        <f>(T55-$D$13)/$E$13</f>
        <v/>
      </c>
      <c r="V55" s="18">
        <f>(H55-D55)*100</f>
        <v/>
      </c>
      <c r="W55" s="20">
        <f>(V55-$D$14)/$E$14</f>
        <v/>
      </c>
      <c r="X55" s="18">
        <f>(J55-H55)*100</f>
        <v/>
      </c>
      <c r="Y55" s="20">
        <f>(X55-$D$15)/$E$15</f>
        <v/>
      </c>
      <c r="Z55" s="18">
        <f>(J55-B55)*100</f>
        <v/>
      </c>
      <c r="AA55" s="20">
        <f>(Z55-$D$16)/$E$16</f>
        <v/>
      </c>
      <c r="AB55" s="18">
        <f>(2*F55-B55-H55)*100</f>
        <v/>
      </c>
      <c r="AC55" s="20">
        <f>(AB55-$D$17)/$E$17</f>
        <v/>
      </c>
      <c r="AD55" s="18">
        <f>L55-L56</f>
        <v/>
      </c>
      <c r="AE55" s="18">
        <f>N55-N56</f>
        <v/>
      </c>
      <c r="AF55" s="18">
        <f>P55-P56</f>
        <v/>
      </c>
      <c r="AG55" s="18">
        <f>R55-R56</f>
        <v/>
      </c>
      <c r="AH55" s="18">
        <f>T55-T56</f>
        <v/>
      </c>
      <c r="AI55" s="18">
        <f>V55-V56</f>
        <v/>
      </c>
      <c r="AJ55" s="18">
        <f>X55-X56</f>
        <v/>
      </c>
      <c r="AK55" s="18">
        <f>Z55-Z56</f>
        <v/>
      </c>
      <c r="AL55" s="18">
        <f>AB55-AB56</f>
        <v/>
      </c>
    </row>
    <row r="56">
      <c r="A56" s="16" t="n">
        <v>46225</v>
      </c>
      <c r="B56" s="17" t="n">
        <v>4.31</v>
      </c>
      <c r="C56" s="18">
        <f>(B56-B57)*100</f>
        <v/>
      </c>
      <c r="D56" s="17" t="n">
        <v>4.34</v>
      </c>
      <c r="E56" s="18">
        <f>(D56-D57)*100</f>
        <v/>
      </c>
      <c r="F56" s="17" t="n">
        <v>4.41</v>
      </c>
      <c r="G56" s="18">
        <f>(F56-F57)*100</f>
        <v/>
      </c>
      <c r="H56" s="17" t="n">
        <v>4.67</v>
      </c>
      <c r="I56" s="18">
        <f>(H56-H57)*100</f>
        <v/>
      </c>
      <c r="J56" s="17" t="n">
        <v>5.15</v>
      </c>
      <c r="K56" s="18">
        <f>(J56-J57)*100</f>
        <v/>
      </c>
      <c r="L56" s="18">
        <f>(F56-B56)*100</f>
        <v/>
      </c>
      <c r="M56" s="20">
        <f>(L56-$D$9)/$E$9</f>
        <v/>
      </c>
      <c r="N56" s="18">
        <f>(F56-D56)*100</f>
        <v/>
      </c>
      <c r="O56" s="20">
        <f>(N56-$D$10)/$E$10</f>
        <v/>
      </c>
      <c r="P56" s="18">
        <f>(H56-F56)*100</f>
        <v/>
      </c>
      <c r="Q56" s="20">
        <f>(P56-$D$11)/$E$11</f>
        <v/>
      </c>
      <c r="R56" s="18">
        <f>(J56-F56)*100</f>
        <v/>
      </c>
      <c r="S56" s="20">
        <f>(R56-$D$12)/$E$12</f>
        <v/>
      </c>
      <c r="T56" s="18">
        <f>(H56-B56)*100</f>
        <v/>
      </c>
      <c r="U56" s="20">
        <f>(T56-$D$13)/$E$13</f>
        <v/>
      </c>
      <c r="V56" s="18">
        <f>(H56-D56)*100</f>
        <v/>
      </c>
      <c r="W56" s="20">
        <f>(V56-$D$14)/$E$14</f>
        <v/>
      </c>
      <c r="X56" s="18">
        <f>(J56-H56)*100</f>
        <v/>
      </c>
      <c r="Y56" s="20">
        <f>(X56-$D$15)/$E$15</f>
        <v/>
      </c>
      <c r="Z56" s="18">
        <f>(J56-B56)*100</f>
        <v/>
      </c>
      <c r="AA56" s="20">
        <f>(Z56-$D$16)/$E$16</f>
        <v/>
      </c>
      <c r="AB56" s="18">
        <f>(2*F56-B56-H56)*100</f>
        <v/>
      </c>
      <c r="AC56" s="20">
        <f>(AB56-$D$17)/$E$17</f>
        <v/>
      </c>
      <c r="AD56" s="18">
        <f>L56-L57</f>
        <v/>
      </c>
      <c r="AE56" s="18">
        <f>N56-N57</f>
        <v/>
      </c>
      <c r="AF56" s="18">
        <f>P56-P57</f>
        <v/>
      </c>
      <c r="AG56" s="18">
        <f>R56-R57</f>
        <v/>
      </c>
      <c r="AH56" s="18">
        <f>T56-T57</f>
        <v/>
      </c>
      <c r="AI56" s="18">
        <f>V56-V57</f>
        <v/>
      </c>
      <c r="AJ56" s="18">
        <f>X56-X57</f>
        <v/>
      </c>
      <c r="AK56" s="18">
        <f>Z56-Z57</f>
        <v/>
      </c>
      <c r="AL56" s="18">
        <f>AB56-AB57</f>
        <v/>
      </c>
    </row>
    <row r="57">
      <c r="A57" s="16" t="n">
        <v>46224</v>
      </c>
      <c r="B57" s="17" t="n">
        <v>4.26</v>
      </c>
      <c r="C57" s="18">
        <f>(B57-B58)*100</f>
        <v/>
      </c>
      <c r="D57" s="17" t="n">
        <v>4.31</v>
      </c>
      <c r="E57" s="18">
        <f>(D57-D58)*100</f>
        <v/>
      </c>
      <c r="F57" s="17" t="n">
        <v>4.37</v>
      </c>
      <c r="G57" s="18">
        <f>(F57-F58)*100</f>
        <v/>
      </c>
      <c r="H57" s="17" t="n">
        <v>4.63</v>
      </c>
      <c r="I57" s="18">
        <f>(H57-H58)*100</f>
        <v/>
      </c>
      <c r="J57" s="17" t="n">
        <v>5.13</v>
      </c>
      <c r="K57" s="18">
        <f>(J57-J58)*100</f>
        <v/>
      </c>
      <c r="L57" s="18">
        <f>(F57-B57)*100</f>
        <v/>
      </c>
      <c r="M57" s="20">
        <f>(L57-$D$9)/$E$9</f>
        <v/>
      </c>
      <c r="N57" s="18">
        <f>(F57-D57)*100</f>
        <v/>
      </c>
      <c r="O57" s="20">
        <f>(N57-$D$10)/$E$10</f>
        <v/>
      </c>
      <c r="P57" s="18">
        <f>(H57-F57)*100</f>
        <v/>
      </c>
      <c r="Q57" s="20">
        <f>(P57-$D$11)/$E$11</f>
        <v/>
      </c>
      <c r="R57" s="18">
        <f>(J57-F57)*100</f>
        <v/>
      </c>
      <c r="S57" s="20">
        <f>(R57-$D$12)/$E$12</f>
        <v/>
      </c>
      <c r="T57" s="18">
        <f>(H57-B57)*100</f>
        <v/>
      </c>
      <c r="U57" s="20">
        <f>(T57-$D$13)/$E$13</f>
        <v/>
      </c>
      <c r="V57" s="18">
        <f>(H57-D57)*100</f>
        <v/>
      </c>
      <c r="W57" s="20">
        <f>(V57-$D$14)/$E$14</f>
        <v/>
      </c>
      <c r="X57" s="18">
        <f>(J57-H57)*100</f>
        <v/>
      </c>
      <c r="Y57" s="20">
        <f>(X57-$D$15)/$E$15</f>
        <v/>
      </c>
      <c r="Z57" s="18">
        <f>(J57-B57)*100</f>
        <v/>
      </c>
      <c r="AA57" s="20">
        <f>(Z57-$D$16)/$E$16</f>
        <v/>
      </c>
      <c r="AB57" s="18">
        <f>(2*F57-B57-H57)*100</f>
        <v/>
      </c>
      <c r="AC57" s="20">
        <f>(AB57-$D$17)/$E$17</f>
        <v/>
      </c>
      <c r="AD57" s="18">
        <f>L57-L58</f>
        <v/>
      </c>
      <c r="AE57" s="18">
        <f>N57-N58</f>
        <v/>
      </c>
      <c r="AF57" s="18">
        <f>P57-P58</f>
        <v/>
      </c>
      <c r="AG57" s="18">
        <f>R57-R58</f>
        <v/>
      </c>
      <c r="AH57" s="18">
        <f>T57-T58</f>
        <v/>
      </c>
      <c r="AI57" s="18">
        <f>V57-V58</f>
        <v/>
      </c>
      <c r="AJ57" s="18">
        <f>X57-X58</f>
        <v/>
      </c>
      <c r="AK57" s="18">
        <f>Z57-Z58</f>
        <v/>
      </c>
      <c r="AL57" s="18">
        <f>AB57-AB58</f>
        <v/>
      </c>
    </row>
    <row r="58">
      <c r="A58" s="16" t="n">
        <v>46223</v>
      </c>
      <c r="B58" s="17" t="n">
        <v>4.21</v>
      </c>
      <c r="C58" s="18">
        <f>(B58-B59)*100</f>
        <v/>
      </c>
      <c r="D58" s="17" t="n">
        <v>4.25</v>
      </c>
      <c r="E58" s="18">
        <f>(D58-D59)*100</f>
        <v/>
      </c>
      <c r="F58" s="17" t="n">
        <v>4.33</v>
      </c>
      <c r="G58" s="18">
        <f>(F58-F59)*100</f>
        <v/>
      </c>
      <c r="H58" s="17" t="n">
        <v>4.6</v>
      </c>
      <c r="I58" s="18">
        <f>(H58-H59)*100</f>
        <v/>
      </c>
      <c r="J58" s="17" t="n">
        <v>5.11</v>
      </c>
      <c r="K58" s="18">
        <f>(J58-J59)*100</f>
        <v/>
      </c>
      <c r="L58" s="18">
        <f>(F58-B58)*100</f>
        <v/>
      </c>
      <c r="M58" s="20">
        <f>(L58-$D$9)/$E$9</f>
        <v/>
      </c>
      <c r="N58" s="18">
        <f>(F58-D58)*100</f>
        <v/>
      </c>
      <c r="O58" s="20">
        <f>(N58-$D$10)/$E$10</f>
        <v/>
      </c>
      <c r="P58" s="18">
        <f>(H58-F58)*100</f>
        <v/>
      </c>
      <c r="Q58" s="20">
        <f>(P58-$D$11)/$E$11</f>
        <v/>
      </c>
      <c r="R58" s="18">
        <f>(J58-F58)*100</f>
        <v/>
      </c>
      <c r="S58" s="20">
        <f>(R58-$D$12)/$E$12</f>
        <v/>
      </c>
      <c r="T58" s="18">
        <f>(H58-B58)*100</f>
        <v/>
      </c>
      <c r="U58" s="20">
        <f>(T58-$D$13)/$E$13</f>
        <v/>
      </c>
      <c r="V58" s="18">
        <f>(H58-D58)*100</f>
        <v/>
      </c>
      <c r="W58" s="20">
        <f>(V58-$D$14)/$E$14</f>
        <v/>
      </c>
      <c r="X58" s="18">
        <f>(J58-H58)*100</f>
        <v/>
      </c>
      <c r="Y58" s="20">
        <f>(X58-$D$15)/$E$15</f>
        <v/>
      </c>
      <c r="Z58" s="18">
        <f>(J58-B58)*100</f>
        <v/>
      </c>
      <c r="AA58" s="20">
        <f>(Z58-$D$16)/$E$16</f>
        <v/>
      </c>
      <c r="AB58" s="18">
        <f>(2*F58-B58-H58)*100</f>
        <v/>
      </c>
      <c r="AC58" s="20">
        <f>(AB58-$D$17)/$E$17</f>
        <v/>
      </c>
      <c r="AD58" s="18">
        <f>L58-L59</f>
        <v/>
      </c>
      <c r="AE58" s="18">
        <f>N58-N59</f>
        <v/>
      </c>
      <c r="AF58" s="18">
        <f>P58-P59</f>
        <v/>
      </c>
      <c r="AG58" s="18">
        <f>R58-R59</f>
        <v/>
      </c>
      <c r="AH58" s="18">
        <f>T58-T59</f>
        <v/>
      </c>
      <c r="AI58" s="18">
        <f>V58-V59</f>
        <v/>
      </c>
      <c r="AJ58" s="18">
        <f>X58-X59</f>
        <v/>
      </c>
      <c r="AK58" s="18">
        <f>Z58-Z59</f>
        <v/>
      </c>
      <c r="AL58" s="18">
        <f>AB58-AB59</f>
        <v/>
      </c>
    </row>
    <row r="59">
      <c r="A59" s="16" t="n">
        <v>46220</v>
      </c>
      <c r="B59" s="17" t="n">
        <v>4.18</v>
      </c>
      <c r="C59" s="18">
        <f>(B59-B60)*100</f>
        <v/>
      </c>
      <c r="D59" s="17" t="n">
        <v>4.21</v>
      </c>
      <c r="E59" s="18">
        <f>(D59-D60)*100</f>
        <v/>
      </c>
      <c r="F59" s="17" t="n">
        <v>4.28</v>
      </c>
      <c r="G59" s="18">
        <f>(F59-F60)*100</f>
        <v/>
      </c>
      <c r="H59" s="17" t="n">
        <v>4.55</v>
      </c>
      <c r="I59" s="18">
        <f>(H59-H60)*100</f>
        <v/>
      </c>
      <c r="J59" s="17" t="n">
        <v>5.06</v>
      </c>
      <c r="K59" s="18">
        <f>(J59-J60)*100</f>
        <v/>
      </c>
      <c r="L59" s="18">
        <f>(F59-B59)*100</f>
        <v/>
      </c>
      <c r="M59" s="20">
        <f>(L59-$D$9)/$E$9</f>
        <v/>
      </c>
      <c r="N59" s="18">
        <f>(F59-D59)*100</f>
        <v/>
      </c>
      <c r="O59" s="20">
        <f>(N59-$D$10)/$E$10</f>
        <v/>
      </c>
      <c r="P59" s="18">
        <f>(H59-F59)*100</f>
        <v/>
      </c>
      <c r="Q59" s="20">
        <f>(P59-$D$11)/$E$11</f>
        <v/>
      </c>
      <c r="R59" s="18">
        <f>(J59-F59)*100</f>
        <v/>
      </c>
      <c r="S59" s="20">
        <f>(R59-$D$12)/$E$12</f>
        <v/>
      </c>
      <c r="T59" s="18">
        <f>(H59-B59)*100</f>
        <v/>
      </c>
      <c r="U59" s="20">
        <f>(T59-$D$13)/$E$13</f>
        <v/>
      </c>
      <c r="V59" s="18">
        <f>(H59-D59)*100</f>
        <v/>
      </c>
      <c r="W59" s="20">
        <f>(V59-$D$14)/$E$14</f>
        <v/>
      </c>
      <c r="X59" s="18">
        <f>(J59-H59)*100</f>
        <v/>
      </c>
      <c r="Y59" s="20">
        <f>(X59-$D$15)/$E$15</f>
        <v/>
      </c>
      <c r="Z59" s="18">
        <f>(J59-B59)*100</f>
        <v/>
      </c>
      <c r="AA59" s="20">
        <f>(Z59-$D$16)/$E$16</f>
        <v/>
      </c>
      <c r="AB59" s="18">
        <f>(2*F59-B59-H59)*100</f>
        <v/>
      </c>
      <c r="AC59" s="20">
        <f>(AB59-$D$17)/$E$17</f>
        <v/>
      </c>
      <c r="AD59" s="18">
        <f>L59-L60</f>
        <v/>
      </c>
      <c r="AE59" s="18">
        <f>N59-N60</f>
        <v/>
      </c>
      <c r="AF59" s="18">
        <f>P59-P60</f>
        <v/>
      </c>
      <c r="AG59" s="18">
        <f>R59-R60</f>
        <v/>
      </c>
      <c r="AH59" s="18">
        <f>T59-T60</f>
        <v/>
      </c>
      <c r="AI59" s="18">
        <f>V59-V60</f>
        <v/>
      </c>
      <c r="AJ59" s="18">
        <f>X59-X60</f>
        <v/>
      </c>
      <c r="AK59" s="18">
        <f>Z59-Z60</f>
        <v/>
      </c>
      <c r="AL59" s="18">
        <f>AB59-AB60</f>
        <v/>
      </c>
    </row>
    <row r="60">
      <c r="A60" s="16" t="n">
        <v>46219</v>
      </c>
      <c r="B60" s="17" t="n">
        <v>4.16</v>
      </c>
      <c r="C60" s="18">
        <f>(B60-B61)*100</f>
        <v/>
      </c>
      <c r="D60" s="17" t="n">
        <v>4.2</v>
      </c>
      <c r="E60" s="18">
        <f>(D60-D61)*100</f>
        <v/>
      </c>
      <c r="F60" s="17" t="n">
        <v>4.28</v>
      </c>
      <c r="G60" s="18">
        <f>(F60-F61)*100</f>
        <v/>
      </c>
      <c r="H60" s="17" t="n">
        <v>4.57</v>
      </c>
      <c r="I60" s="18">
        <f>(H60-H61)*100</f>
        <v/>
      </c>
      <c r="J60" s="17" t="n">
        <v>5.09</v>
      </c>
      <c r="K60" s="18">
        <f>(J60-J61)*100</f>
        <v/>
      </c>
      <c r="L60" s="18">
        <f>(F60-B60)*100</f>
        <v/>
      </c>
      <c r="M60" s="20">
        <f>(L60-$D$9)/$E$9</f>
        <v/>
      </c>
      <c r="N60" s="18">
        <f>(F60-D60)*100</f>
        <v/>
      </c>
      <c r="O60" s="20">
        <f>(N60-$D$10)/$E$10</f>
        <v/>
      </c>
      <c r="P60" s="18">
        <f>(H60-F60)*100</f>
        <v/>
      </c>
      <c r="Q60" s="20">
        <f>(P60-$D$11)/$E$11</f>
        <v/>
      </c>
      <c r="R60" s="18">
        <f>(J60-F60)*100</f>
        <v/>
      </c>
      <c r="S60" s="20">
        <f>(R60-$D$12)/$E$12</f>
        <v/>
      </c>
      <c r="T60" s="18">
        <f>(H60-B60)*100</f>
        <v/>
      </c>
      <c r="U60" s="20">
        <f>(T60-$D$13)/$E$13</f>
        <v/>
      </c>
      <c r="V60" s="18">
        <f>(H60-D60)*100</f>
        <v/>
      </c>
      <c r="W60" s="20">
        <f>(V60-$D$14)/$E$14</f>
        <v/>
      </c>
      <c r="X60" s="18">
        <f>(J60-H60)*100</f>
        <v/>
      </c>
      <c r="Y60" s="20">
        <f>(X60-$D$15)/$E$15</f>
        <v/>
      </c>
      <c r="Z60" s="18">
        <f>(J60-B60)*100</f>
        <v/>
      </c>
      <c r="AA60" s="20">
        <f>(Z60-$D$16)/$E$16</f>
        <v/>
      </c>
      <c r="AB60" s="18">
        <f>(2*F60-B60-H60)*100</f>
        <v/>
      </c>
      <c r="AC60" s="20">
        <f>(AB60-$D$17)/$E$17</f>
        <v/>
      </c>
      <c r="AD60" s="18">
        <f>L60-L61</f>
        <v/>
      </c>
      <c r="AE60" s="18">
        <f>N60-N61</f>
        <v/>
      </c>
      <c r="AF60" s="18">
        <f>P60-P61</f>
        <v/>
      </c>
      <c r="AG60" s="18">
        <f>R60-R61</f>
        <v/>
      </c>
      <c r="AH60" s="18">
        <f>T60-T61</f>
        <v/>
      </c>
      <c r="AI60" s="18">
        <f>V60-V61</f>
        <v/>
      </c>
      <c r="AJ60" s="18">
        <f>X60-X61</f>
        <v/>
      </c>
      <c r="AK60" s="18">
        <f>Z60-Z61</f>
        <v/>
      </c>
      <c r="AL60" s="18">
        <f>AB60-AB61</f>
        <v/>
      </c>
    </row>
    <row r="61">
      <c r="A61" s="16" t="n">
        <v>46218</v>
      </c>
      <c r="B61" s="17" t="n">
        <v>4.13</v>
      </c>
      <c r="C61" s="18">
        <f>(B61-B62)*100</f>
        <v/>
      </c>
      <c r="D61" s="17" t="n">
        <v>4.18</v>
      </c>
      <c r="E61" s="18">
        <f>(D61-D62)*100</f>
        <v/>
      </c>
      <c r="F61" s="17" t="n">
        <v>4.26</v>
      </c>
      <c r="G61" s="18">
        <f>(F61-F62)*100</f>
        <v/>
      </c>
      <c r="H61" s="17" t="n">
        <v>4.55</v>
      </c>
      <c r="I61" s="18">
        <f>(H61-H62)*100</f>
        <v/>
      </c>
      <c r="J61" s="17" t="n">
        <v>5.08</v>
      </c>
      <c r="K61" s="18">
        <f>(J61-J62)*100</f>
        <v/>
      </c>
      <c r="L61" s="18">
        <f>(F61-B61)*100</f>
        <v/>
      </c>
      <c r="M61" s="20">
        <f>(L61-$D$9)/$E$9</f>
        <v/>
      </c>
      <c r="N61" s="18">
        <f>(F61-D61)*100</f>
        <v/>
      </c>
      <c r="O61" s="20">
        <f>(N61-$D$10)/$E$10</f>
        <v/>
      </c>
      <c r="P61" s="18">
        <f>(H61-F61)*100</f>
        <v/>
      </c>
      <c r="Q61" s="20">
        <f>(P61-$D$11)/$E$11</f>
        <v/>
      </c>
      <c r="R61" s="18">
        <f>(J61-F61)*100</f>
        <v/>
      </c>
      <c r="S61" s="20">
        <f>(R61-$D$12)/$E$12</f>
        <v/>
      </c>
      <c r="T61" s="18">
        <f>(H61-B61)*100</f>
        <v/>
      </c>
      <c r="U61" s="20">
        <f>(T61-$D$13)/$E$13</f>
        <v/>
      </c>
      <c r="V61" s="18">
        <f>(H61-D61)*100</f>
        <v/>
      </c>
      <c r="W61" s="20">
        <f>(V61-$D$14)/$E$14</f>
        <v/>
      </c>
      <c r="X61" s="18">
        <f>(J61-H61)*100</f>
        <v/>
      </c>
      <c r="Y61" s="20">
        <f>(X61-$D$15)/$E$15</f>
        <v/>
      </c>
      <c r="Z61" s="18">
        <f>(J61-B61)*100</f>
        <v/>
      </c>
      <c r="AA61" s="20">
        <f>(Z61-$D$16)/$E$16</f>
        <v/>
      </c>
      <c r="AB61" s="18">
        <f>(2*F61-B61-H61)*100</f>
        <v/>
      </c>
      <c r="AC61" s="20">
        <f>(AB61-$D$17)/$E$17</f>
        <v/>
      </c>
      <c r="AD61" s="18">
        <f>L61-L62</f>
        <v/>
      </c>
      <c r="AE61" s="18">
        <f>N61-N62</f>
        <v/>
      </c>
      <c r="AF61" s="18">
        <f>P61-P62</f>
        <v/>
      </c>
      <c r="AG61" s="18">
        <f>R61-R62</f>
        <v/>
      </c>
      <c r="AH61" s="18">
        <f>T61-T62</f>
        <v/>
      </c>
      <c r="AI61" s="18">
        <f>V61-V62</f>
        <v/>
      </c>
      <c r="AJ61" s="18">
        <f>X61-X62</f>
        <v/>
      </c>
      <c r="AK61" s="18">
        <f>Z61-Z62</f>
        <v/>
      </c>
      <c r="AL61" s="18">
        <f>AB61-AB62</f>
        <v/>
      </c>
    </row>
    <row r="62">
      <c r="A62" s="16" t="n">
        <v>46217</v>
      </c>
      <c r="B62" s="17" t="n">
        <v>4.18</v>
      </c>
      <c r="C62" s="18">
        <f>(B62-B63)*100</f>
        <v/>
      </c>
      <c r="D62" s="17" t="n">
        <v>4.23</v>
      </c>
      <c r="E62" s="18">
        <f>(D62-D63)*100</f>
        <v/>
      </c>
      <c r="F62" s="17" t="n">
        <v>4.31</v>
      </c>
      <c r="G62" s="18">
        <f>(F62-F63)*100</f>
        <v/>
      </c>
      <c r="H62" s="17" t="n">
        <v>4.58</v>
      </c>
      <c r="I62" s="18">
        <f>(H62-H63)*100</f>
        <v/>
      </c>
      <c r="J62" s="17" t="n">
        <v>5.08</v>
      </c>
      <c r="K62" s="18">
        <f>(J62-J63)*100</f>
        <v/>
      </c>
      <c r="L62" s="18">
        <f>(F62-B62)*100</f>
        <v/>
      </c>
      <c r="M62" s="20">
        <f>(L62-$D$9)/$E$9</f>
        <v/>
      </c>
      <c r="N62" s="18">
        <f>(F62-D62)*100</f>
        <v/>
      </c>
      <c r="O62" s="20">
        <f>(N62-$D$10)/$E$10</f>
        <v/>
      </c>
      <c r="P62" s="18">
        <f>(H62-F62)*100</f>
        <v/>
      </c>
      <c r="Q62" s="20">
        <f>(P62-$D$11)/$E$11</f>
        <v/>
      </c>
      <c r="R62" s="18">
        <f>(J62-F62)*100</f>
        <v/>
      </c>
      <c r="S62" s="20">
        <f>(R62-$D$12)/$E$12</f>
        <v/>
      </c>
      <c r="T62" s="18">
        <f>(H62-B62)*100</f>
        <v/>
      </c>
      <c r="U62" s="20">
        <f>(T62-$D$13)/$E$13</f>
        <v/>
      </c>
      <c r="V62" s="18">
        <f>(H62-D62)*100</f>
        <v/>
      </c>
      <c r="W62" s="20">
        <f>(V62-$D$14)/$E$14</f>
        <v/>
      </c>
      <c r="X62" s="18">
        <f>(J62-H62)*100</f>
        <v/>
      </c>
      <c r="Y62" s="20">
        <f>(X62-$D$15)/$E$15</f>
        <v/>
      </c>
      <c r="Z62" s="18">
        <f>(J62-B62)*100</f>
        <v/>
      </c>
      <c r="AA62" s="20">
        <f>(Z62-$D$16)/$E$16</f>
        <v/>
      </c>
      <c r="AB62" s="18">
        <f>(2*F62-B62-H62)*100</f>
        <v/>
      </c>
      <c r="AC62" s="20">
        <f>(AB62-$D$17)/$E$17</f>
        <v/>
      </c>
      <c r="AD62" s="18">
        <f>L62-L63</f>
        <v/>
      </c>
      <c r="AE62" s="18">
        <f>N62-N63</f>
        <v/>
      </c>
      <c r="AF62" s="18">
        <f>P62-P63</f>
        <v/>
      </c>
      <c r="AG62" s="18">
        <f>R62-R63</f>
        <v/>
      </c>
      <c r="AH62" s="18">
        <f>T62-T63</f>
        <v/>
      </c>
      <c r="AI62" s="18">
        <f>V62-V63</f>
        <v/>
      </c>
      <c r="AJ62" s="18">
        <f>X62-X63</f>
        <v/>
      </c>
      <c r="AK62" s="18">
        <f>Z62-Z63</f>
        <v/>
      </c>
      <c r="AL62" s="18">
        <f>AB62-AB63</f>
        <v/>
      </c>
    </row>
    <row r="63">
      <c r="A63" s="16" t="n">
        <v>46216</v>
      </c>
      <c r="B63" s="17" t="n">
        <v>4.26</v>
      </c>
      <c r="C63" s="18">
        <f>(B63-B64)*100</f>
        <v/>
      </c>
      <c r="D63" s="17" t="n">
        <v>4.3</v>
      </c>
      <c r="E63" s="18">
        <f>(D63-D64)*100</f>
        <v/>
      </c>
      <c r="F63" s="17" t="n">
        <v>4.37</v>
      </c>
      <c r="G63" s="18">
        <f>(F63-F64)*100</f>
        <v/>
      </c>
      <c r="H63" s="17" t="n">
        <v>4.62</v>
      </c>
      <c r="I63" s="18">
        <f>(H63-H64)*100</f>
        <v/>
      </c>
      <c r="J63" s="17" t="n">
        <v>5.1</v>
      </c>
      <c r="K63" s="18">
        <f>(J63-J64)*100</f>
        <v/>
      </c>
      <c r="L63" s="18">
        <f>(F63-B63)*100</f>
        <v/>
      </c>
      <c r="M63" s="20">
        <f>(L63-$D$9)/$E$9</f>
        <v/>
      </c>
      <c r="N63" s="18">
        <f>(F63-D63)*100</f>
        <v/>
      </c>
      <c r="O63" s="20">
        <f>(N63-$D$10)/$E$10</f>
        <v/>
      </c>
      <c r="P63" s="18">
        <f>(H63-F63)*100</f>
        <v/>
      </c>
      <c r="Q63" s="20">
        <f>(P63-$D$11)/$E$11</f>
        <v/>
      </c>
      <c r="R63" s="18">
        <f>(J63-F63)*100</f>
        <v/>
      </c>
      <c r="S63" s="20">
        <f>(R63-$D$12)/$E$12</f>
        <v/>
      </c>
      <c r="T63" s="18">
        <f>(H63-B63)*100</f>
        <v/>
      </c>
      <c r="U63" s="20">
        <f>(T63-$D$13)/$E$13</f>
        <v/>
      </c>
      <c r="V63" s="18">
        <f>(H63-D63)*100</f>
        <v/>
      </c>
      <c r="W63" s="20">
        <f>(V63-$D$14)/$E$14</f>
        <v/>
      </c>
      <c r="X63" s="18">
        <f>(J63-H63)*100</f>
        <v/>
      </c>
      <c r="Y63" s="20">
        <f>(X63-$D$15)/$E$15</f>
        <v/>
      </c>
      <c r="Z63" s="18">
        <f>(J63-B63)*100</f>
        <v/>
      </c>
      <c r="AA63" s="20">
        <f>(Z63-$D$16)/$E$16</f>
        <v/>
      </c>
      <c r="AB63" s="18">
        <f>(2*F63-B63-H63)*100</f>
        <v/>
      </c>
      <c r="AC63" s="20">
        <f>(AB63-$D$17)/$E$17</f>
        <v/>
      </c>
      <c r="AD63" s="18">
        <f>L63-L64</f>
        <v/>
      </c>
      <c r="AE63" s="18">
        <f>N63-N64</f>
        <v/>
      </c>
      <c r="AF63" s="18">
        <f>P63-P64</f>
        <v/>
      </c>
      <c r="AG63" s="18">
        <f>R63-R64</f>
        <v/>
      </c>
      <c r="AH63" s="18">
        <f>T63-T64</f>
        <v/>
      </c>
      <c r="AI63" s="18">
        <f>V63-V64</f>
        <v/>
      </c>
      <c r="AJ63" s="18">
        <f>X63-X64</f>
        <v/>
      </c>
      <c r="AK63" s="18">
        <f>Z63-Z64</f>
        <v/>
      </c>
      <c r="AL63" s="18">
        <f>AB63-AB64</f>
        <v/>
      </c>
    </row>
    <row r="64">
      <c r="A64" s="16" t="n">
        <v>46213</v>
      </c>
      <c r="B64" s="17" t="n">
        <v>4.21</v>
      </c>
      <c r="C64" s="18">
        <f>(B64-B65)*100</f>
        <v/>
      </c>
      <c r="D64" s="17" t="n">
        <v>4.22</v>
      </c>
      <c r="E64" s="18">
        <f>(D64-D65)*100</f>
        <v/>
      </c>
      <c r="F64" s="17" t="n">
        <v>4.3</v>
      </c>
      <c r="G64" s="18">
        <f>(F64-F65)*100</f>
        <v/>
      </c>
      <c r="H64" s="17" t="n">
        <v>4.56</v>
      </c>
      <c r="I64" s="18">
        <f>(H64-H65)*100</f>
        <v/>
      </c>
      <c r="J64" s="17" t="n">
        <v>5.06</v>
      </c>
      <c r="K64" s="18">
        <f>(J64-J65)*100</f>
        <v/>
      </c>
      <c r="L64" s="18">
        <f>(F64-B64)*100</f>
        <v/>
      </c>
      <c r="M64" s="20">
        <f>(L64-$D$9)/$E$9</f>
        <v/>
      </c>
      <c r="N64" s="18">
        <f>(F64-D64)*100</f>
        <v/>
      </c>
      <c r="O64" s="20">
        <f>(N64-$D$10)/$E$10</f>
        <v/>
      </c>
      <c r="P64" s="18">
        <f>(H64-F64)*100</f>
        <v/>
      </c>
      <c r="Q64" s="20">
        <f>(P64-$D$11)/$E$11</f>
        <v/>
      </c>
      <c r="R64" s="18">
        <f>(J64-F64)*100</f>
        <v/>
      </c>
      <c r="S64" s="20">
        <f>(R64-$D$12)/$E$12</f>
        <v/>
      </c>
      <c r="T64" s="18">
        <f>(H64-B64)*100</f>
        <v/>
      </c>
      <c r="U64" s="20">
        <f>(T64-$D$13)/$E$13</f>
        <v/>
      </c>
      <c r="V64" s="18">
        <f>(H64-D64)*100</f>
        <v/>
      </c>
      <c r="W64" s="20">
        <f>(V64-$D$14)/$E$14</f>
        <v/>
      </c>
      <c r="X64" s="18">
        <f>(J64-H64)*100</f>
        <v/>
      </c>
      <c r="Y64" s="20">
        <f>(X64-$D$15)/$E$15</f>
        <v/>
      </c>
      <c r="Z64" s="18">
        <f>(J64-B64)*100</f>
        <v/>
      </c>
      <c r="AA64" s="20">
        <f>(Z64-$D$16)/$E$16</f>
        <v/>
      </c>
      <c r="AB64" s="18">
        <f>(2*F64-B64-H64)*100</f>
        <v/>
      </c>
      <c r="AC64" s="20">
        <f>(AB64-$D$17)/$E$17</f>
        <v/>
      </c>
      <c r="AD64" s="18">
        <f>L64-L65</f>
        <v/>
      </c>
      <c r="AE64" s="18">
        <f>N64-N65</f>
        <v/>
      </c>
      <c r="AF64" s="18">
        <f>P64-P65</f>
        <v/>
      </c>
      <c r="AG64" s="18">
        <f>R64-R65</f>
        <v/>
      </c>
      <c r="AH64" s="18">
        <f>T64-T65</f>
        <v/>
      </c>
      <c r="AI64" s="18">
        <f>V64-V65</f>
        <v/>
      </c>
      <c r="AJ64" s="18">
        <f>X64-X65</f>
        <v/>
      </c>
      <c r="AK64" s="18">
        <f>Z64-Z65</f>
        <v/>
      </c>
      <c r="AL64" s="18">
        <f>AB64-AB65</f>
        <v/>
      </c>
    </row>
    <row r="65">
      <c r="A65" s="16" t="n">
        <v>46212</v>
      </c>
      <c r="B65" s="17" t="n">
        <v>4.16</v>
      </c>
      <c r="C65" s="18">
        <f>(B65-B66)*100</f>
        <v/>
      </c>
      <c r="D65" s="17" t="n">
        <v>4.18</v>
      </c>
      <c r="E65" s="18">
        <f>(D65-D66)*100</f>
        <v/>
      </c>
      <c r="F65" s="17" t="n">
        <v>4.27</v>
      </c>
      <c r="G65" s="18">
        <f>(F65-F66)*100</f>
        <v/>
      </c>
      <c r="H65" s="17" t="n">
        <v>4.54</v>
      </c>
      <c r="I65" s="18">
        <f>(H65-H66)*100</f>
        <v/>
      </c>
      <c r="J65" s="17" t="n">
        <v>5.05</v>
      </c>
      <c r="K65" s="18">
        <f>(J65-J66)*100</f>
        <v/>
      </c>
      <c r="L65" s="18">
        <f>(F65-B65)*100</f>
        <v/>
      </c>
      <c r="M65" s="20">
        <f>(L65-$D$9)/$E$9</f>
        <v/>
      </c>
      <c r="N65" s="18">
        <f>(F65-D65)*100</f>
        <v/>
      </c>
      <c r="O65" s="20">
        <f>(N65-$D$10)/$E$10</f>
        <v/>
      </c>
      <c r="P65" s="18">
        <f>(H65-F65)*100</f>
        <v/>
      </c>
      <c r="Q65" s="20">
        <f>(P65-$D$11)/$E$11</f>
        <v/>
      </c>
      <c r="R65" s="18">
        <f>(J65-F65)*100</f>
        <v/>
      </c>
      <c r="S65" s="20">
        <f>(R65-$D$12)/$E$12</f>
        <v/>
      </c>
      <c r="T65" s="18">
        <f>(H65-B65)*100</f>
        <v/>
      </c>
      <c r="U65" s="20">
        <f>(T65-$D$13)/$E$13</f>
        <v/>
      </c>
      <c r="V65" s="18">
        <f>(H65-D65)*100</f>
        <v/>
      </c>
      <c r="W65" s="20">
        <f>(V65-$D$14)/$E$14</f>
        <v/>
      </c>
      <c r="X65" s="18">
        <f>(J65-H65)*100</f>
        <v/>
      </c>
      <c r="Y65" s="20">
        <f>(X65-$D$15)/$E$15</f>
        <v/>
      </c>
      <c r="Z65" s="18">
        <f>(J65-B65)*100</f>
        <v/>
      </c>
      <c r="AA65" s="20">
        <f>(Z65-$D$16)/$E$16</f>
        <v/>
      </c>
      <c r="AB65" s="18">
        <f>(2*F65-B65-H65)*100</f>
        <v/>
      </c>
      <c r="AC65" s="20">
        <f>(AB65-$D$17)/$E$17</f>
        <v/>
      </c>
      <c r="AD65" s="18">
        <f>L65-L66</f>
        <v/>
      </c>
      <c r="AE65" s="18">
        <f>N65-N66</f>
        <v/>
      </c>
      <c r="AF65" s="18">
        <f>P65-P66</f>
        <v/>
      </c>
      <c r="AG65" s="18">
        <f>R65-R66</f>
        <v/>
      </c>
      <c r="AH65" s="18">
        <f>T65-T66</f>
        <v/>
      </c>
      <c r="AI65" s="18">
        <f>V65-V66</f>
        <v/>
      </c>
      <c r="AJ65" s="18">
        <f>X65-X66</f>
        <v/>
      </c>
      <c r="AK65" s="18">
        <f>Z65-Z66</f>
        <v/>
      </c>
      <c r="AL65" s="18">
        <f>AB65-AB66</f>
        <v/>
      </c>
    </row>
    <row r="66">
      <c r="A66" s="16" t="n">
        <v>46211</v>
      </c>
      <c r="B66" s="17" t="n">
        <v>4.21</v>
      </c>
      <c r="C66" s="18">
        <f>(B66-B67)*100</f>
        <v/>
      </c>
      <c r="D66" s="17" t="n">
        <v>4.21</v>
      </c>
      <c r="E66" s="18">
        <f>(D66-D67)*100</f>
        <v/>
      </c>
      <c r="F66" s="17" t="n">
        <v>4.31</v>
      </c>
      <c r="G66" s="18">
        <f>(F66-F67)*100</f>
        <v/>
      </c>
      <c r="H66" s="17" t="n">
        <v>4.56</v>
      </c>
      <c r="I66" s="18">
        <f>(H66-H67)*100</f>
        <v/>
      </c>
      <c r="J66" s="17" t="n">
        <v>5.06</v>
      </c>
      <c r="K66" s="18">
        <f>(J66-J67)*100</f>
        <v/>
      </c>
      <c r="L66" s="18">
        <f>(F66-B66)*100</f>
        <v/>
      </c>
      <c r="M66" s="20">
        <f>(L66-$D$9)/$E$9</f>
        <v/>
      </c>
      <c r="N66" s="18">
        <f>(F66-D66)*100</f>
        <v/>
      </c>
      <c r="O66" s="20">
        <f>(N66-$D$10)/$E$10</f>
        <v/>
      </c>
      <c r="P66" s="18">
        <f>(H66-F66)*100</f>
        <v/>
      </c>
      <c r="Q66" s="20">
        <f>(P66-$D$11)/$E$11</f>
        <v/>
      </c>
      <c r="R66" s="18">
        <f>(J66-F66)*100</f>
        <v/>
      </c>
      <c r="S66" s="20">
        <f>(R66-$D$12)/$E$12</f>
        <v/>
      </c>
      <c r="T66" s="18">
        <f>(H66-B66)*100</f>
        <v/>
      </c>
      <c r="U66" s="20">
        <f>(T66-$D$13)/$E$13</f>
        <v/>
      </c>
      <c r="V66" s="18">
        <f>(H66-D66)*100</f>
        <v/>
      </c>
      <c r="W66" s="20">
        <f>(V66-$D$14)/$E$14</f>
        <v/>
      </c>
      <c r="X66" s="18">
        <f>(J66-H66)*100</f>
        <v/>
      </c>
      <c r="Y66" s="20">
        <f>(X66-$D$15)/$E$15</f>
        <v/>
      </c>
      <c r="Z66" s="18">
        <f>(J66-B66)*100</f>
        <v/>
      </c>
      <c r="AA66" s="20">
        <f>(Z66-$D$16)/$E$16</f>
        <v/>
      </c>
      <c r="AB66" s="18">
        <f>(2*F66-B66-H66)*100</f>
        <v/>
      </c>
      <c r="AC66" s="20">
        <f>(AB66-$D$17)/$E$17</f>
        <v/>
      </c>
      <c r="AD66" s="18">
        <f>L66-L67</f>
        <v/>
      </c>
      <c r="AE66" s="18">
        <f>N66-N67</f>
        <v/>
      </c>
      <c r="AF66" s="18">
        <f>P66-P67</f>
        <v/>
      </c>
      <c r="AG66" s="18">
        <f>R66-R67</f>
        <v/>
      </c>
      <c r="AH66" s="18">
        <f>T66-T67</f>
        <v/>
      </c>
      <c r="AI66" s="18">
        <f>V66-V67</f>
        <v/>
      </c>
      <c r="AJ66" s="18">
        <f>X66-X67</f>
        <v/>
      </c>
      <c r="AK66" s="18">
        <f>Z66-Z67</f>
        <v/>
      </c>
      <c r="AL66" s="18">
        <f>AB66-AB67</f>
        <v/>
      </c>
    </row>
    <row r="67">
      <c r="A67" s="16" t="n">
        <v>46210</v>
      </c>
      <c r="B67" s="17" t="n">
        <v>4.19</v>
      </c>
      <c r="C67" s="18">
        <f>(B67-B68)*100</f>
        <v/>
      </c>
      <c r="D67" s="17" t="n">
        <v>4.18</v>
      </c>
      <c r="E67" s="18">
        <f>(D67-D68)*100</f>
        <v/>
      </c>
      <c r="F67" s="17" t="n">
        <v>4.27</v>
      </c>
      <c r="G67" s="18">
        <f>(F67-F68)*100</f>
        <v/>
      </c>
      <c r="H67" s="17" t="n">
        <v>4.55</v>
      </c>
      <c r="I67" s="18">
        <f>(H67-H68)*100</f>
        <v/>
      </c>
      <c r="J67" s="17" t="n">
        <v>5.05</v>
      </c>
      <c r="K67" s="18">
        <f>(J67-J68)*100</f>
        <v/>
      </c>
      <c r="L67" s="18">
        <f>(F67-B67)*100</f>
        <v/>
      </c>
      <c r="M67" s="20">
        <f>(L67-$D$9)/$E$9</f>
        <v/>
      </c>
      <c r="N67" s="18">
        <f>(F67-D67)*100</f>
        <v/>
      </c>
      <c r="O67" s="20">
        <f>(N67-$D$10)/$E$10</f>
        <v/>
      </c>
      <c r="P67" s="18">
        <f>(H67-F67)*100</f>
        <v/>
      </c>
      <c r="Q67" s="20">
        <f>(P67-$D$11)/$E$11</f>
        <v/>
      </c>
      <c r="R67" s="18">
        <f>(J67-F67)*100</f>
        <v/>
      </c>
      <c r="S67" s="20">
        <f>(R67-$D$12)/$E$12</f>
        <v/>
      </c>
      <c r="T67" s="18">
        <f>(H67-B67)*100</f>
        <v/>
      </c>
      <c r="U67" s="20">
        <f>(T67-$D$13)/$E$13</f>
        <v/>
      </c>
      <c r="V67" s="18">
        <f>(H67-D67)*100</f>
        <v/>
      </c>
      <c r="W67" s="20">
        <f>(V67-$D$14)/$E$14</f>
        <v/>
      </c>
      <c r="X67" s="18">
        <f>(J67-H67)*100</f>
        <v/>
      </c>
      <c r="Y67" s="20">
        <f>(X67-$D$15)/$E$15</f>
        <v/>
      </c>
      <c r="Z67" s="18">
        <f>(J67-B67)*100</f>
        <v/>
      </c>
      <c r="AA67" s="20">
        <f>(Z67-$D$16)/$E$16</f>
        <v/>
      </c>
      <c r="AB67" s="18">
        <f>(2*F67-B67-H67)*100</f>
        <v/>
      </c>
      <c r="AC67" s="20">
        <f>(AB67-$D$17)/$E$17</f>
        <v/>
      </c>
      <c r="AD67" s="18">
        <f>L67-L68</f>
        <v/>
      </c>
      <c r="AE67" s="18">
        <f>N67-N68</f>
        <v/>
      </c>
      <c r="AF67" s="18">
        <f>P67-P68</f>
        <v/>
      </c>
      <c r="AG67" s="18">
        <f>R67-R68</f>
        <v/>
      </c>
      <c r="AH67" s="18">
        <f>T67-T68</f>
        <v/>
      </c>
      <c r="AI67" s="18">
        <f>V67-V68</f>
        <v/>
      </c>
      <c r="AJ67" s="18">
        <f>X67-X68</f>
        <v/>
      </c>
      <c r="AK67" s="18">
        <f>Z67-Z68</f>
        <v/>
      </c>
      <c r="AL67" s="18">
        <f>AB67-AB68</f>
        <v/>
      </c>
    </row>
    <row r="68">
      <c r="A68" s="16" t="n">
        <v>46209</v>
      </c>
      <c r="B68" s="17" t="n">
        <v>4.13</v>
      </c>
      <c r="C68" s="18">
        <f>(B68-B69)*100</f>
        <v/>
      </c>
      <c r="D68" s="17" t="n">
        <v>4.14</v>
      </c>
      <c r="E68" s="18">
        <f>(D68-D69)*100</f>
        <v/>
      </c>
      <c r="F68" s="17" t="n">
        <v>4.21</v>
      </c>
      <c r="G68" s="18">
        <f>(F68-F69)*100</f>
        <v/>
      </c>
      <c r="H68" s="17" t="n">
        <v>4.48</v>
      </c>
      <c r="I68" s="18">
        <f>(H68-H69)*100</f>
        <v/>
      </c>
      <c r="J68" s="17" t="n">
        <v>4.99</v>
      </c>
      <c r="K68" s="18">
        <f>(J68-J69)*100</f>
        <v/>
      </c>
      <c r="L68" s="18">
        <f>(F68-B68)*100</f>
        <v/>
      </c>
      <c r="M68" s="20">
        <f>(L68-$D$9)/$E$9</f>
        <v/>
      </c>
      <c r="N68" s="18">
        <f>(F68-D68)*100</f>
        <v/>
      </c>
      <c r="O68" s="20">
        <f>(N68-$D$10)/$E$10</f>
        <v/>
      </c>
      <c r="P68" s="18">
        <f>(H68-F68)*100</f>
        <v/>
      </c>
      <c r="Q68" s="20">
        <f>(P68-$D$11)/$E$11</f>
        <v/>
      </c>
      <c r="R68" s="18">
        <f>(J68-F68)*100</f>
        <v/>
      </c>
      <c r="S68" s="20">
        <f>(R68-$D$12)/$E$12</f>
        <v/>
      </c>
      <c r="T68" s="18">
        <f>(H68-B68)*100</f>
        <v/>
      </c>
      <c r="U68" s="20">
        <f>(T68-$D$13)/$E$13</f>
        <v/>
      </c>
      <c r="V68" s="18">
        <f>(H68-D68)*100</f>
        <v/>
      </c>
      <c r="W68" s="20">
        <f>(V68-$D$14)/$E$14</f>
        <v/>
      </c>
      <c r="X68" s="18">
        <f>(J68-H68)*100</f>
        <v/>
      </c>
      <c r="Y68" s="20">
        <f>(X68-$D$15)/$E$15</f>
        <v/>
      </c>
      <c r="Z68" s="18">
        <f>(J68-B68)*100</f>
        <v/>
      </c>
      <c r="AA68" s="20">
        <f>(Z68-$D$16)/$E$16</f>
        <v/>
      </c>
      <c r="AB68" s="18">
        <f>(2*F68-B68-H68)*100</f>
        <v/>
      </c>
      <c r="AC68" s="20">
        <f>(AB68-$D$17)/$E$17</f>
        <v/>
      </c>
      <c r="AD68" s="18">
        <f>L68-L69</f>
        <v/>
      </c>
      <c r="AE68" s="18">
        <f>N68-N69</f>
        <v/>
      </c>
      <c r="AF68" s="18">
        <f>P68-P69</f>
        <v/>
      </c>
      <c r="AG68" s="18">
        <f>R68-R69</f>
        <v/>
      </c>
      <c r="AH68" s="18">
        <f>T68-T69</f>
        <v/>
      </c>
      <c r="AI68" s="18">
        <f>V68-V69</f>
        <v/>
      </c>
      <c r="AJ68" s="18">
        <f>X68-X69</f>
        <v/>
      </c>
      <c r="AK68" s="18">
        <f>Z68-Z69</f>
        <v/>
      </c>
      <c r="AL68" s="18">
        <f>AB68-AB69</f>
        <v/>
      </c>
    </row>
    <row r="69">
      <c r="A69" s="16" t="n">
        <v>46205</v>
      </c>
      <c r="B69" s="17" t="n">
        <v>4.14</v>
      </c>
      <c r="C69" s="18">
        <f>(B69-B70)*100</f>
        <v/>
      </c>
      <c r="D69" s="17" t="n">
        <v>4.16</v>
      </c>
      <c r="E69" s="18">
        <f>(D69-D70)*100</f>
        <v/>
      </c>
      <c r="F69" s="17" t="n">
        <v>4.23</v>
      </c>
      <c r="G69" s="18">
        <f>(F69-F70)*100</f>
        <v/>
      </c>
      <c r="H69" s="17" t="n">
        <v>4.49</v>
      </c>
      <c r="I69" s="18">
        <f>(H69-H70)*100</f>
        <v/>
      </c>
      <c r="J69" s="17" t="n">
        <v>4.98</v>
      </c>
      <c r="K69" s="18">
        <f>(J69-J70)*100</f>
        <v/>
      </c>
      <c r="L69" s="18">
        <f>(F69-B69)*100</f>
        <v/>
      </c>
      <c r="M69" s="20">
        <f>(L69-$D$9)/$E$9</f>
        <v/>
      </c>
      <c r="N69" s="18">
        <f>(F69-D69)*100</f>
        <v/>
      </c>
      <c r="O69" s="20">
        <f>(N69-$D$10)/$E$10</f>
        <v/>
      </c>
      <c r="P69" s="18">
        <f>(H69-F69)*100</f>
        <v/>
      </c>
      <c r="Q69" s="20">
        <f>(P69-$D$11)/$E$11</f>
        <v/>
      </c>
      <c r="R69" s="18">
        <f>(J69-F69)*100</f>
        <v/>
      </c>
      <c r="S69" s="20">
        <f>(R69-$D$12)/$E$12</f>
        <v/>
      </c>
      <c r="T69" s="18">
        <f>(H69-B69)*100</f>
        <v/>
      </c>
      <c r="U69" s="20">
        <f>(T69-$D$13)/$E$13</f>
        <v/>
      </c>
      <c r="V69" s="18">
        <f>(H69-D69)*100</f>
        <v/>
      </c>
      <c r="W69" s="20">
        <f>(V69-$D$14)/$E$14</f>
        <v/>
      </c>
      <c r="X69" s="18">
        <f>(J69-H69)*100</f>
        <v/>
      </c>
      <c r="Y69" s="20">
        <f>(X69-$D$15)/$E$15</f>
        <v/>
      </c>
      <c r="Z69" s="18">
        <f>(J69-B69)*100</f>
        <v/>
      </c>
      <c r="AA69" s="20">
        <f>(Z69-$D$16)/$E$16</f>
        <v/>
      </c>
      <c r="AB69" s="18">
        <f>(2*F69-B69-H69)*100</f>
        <v/>
      </c>
      <c r="AC69" s="20">
        <f>(AB69-$D$17)/$E$17</f>
        <v/>
      </c>
      <c r="AD69" s="18">
        <f>L69-L70</f>
        <v/>
      </c>
      <c r="AE69" s="18">
        <f>N69-N70</f>
        <v/>
      </c>
      <c r="AF69" s="18">
        <f>P69-P70</f>
        <v/>
      </c>
      <c r="AG69" s="18">
        <f>R69-R70</f>
        <v/>
      </c>
      <c r="AH69" s="18">
        <f>T69-T70</f>
        <v/>
      </c>
      <c r="AI69" s="18">
        <f>V69-V70</f>
        <v/>
      </c>
      <c r="AJ69" s="18">
        <f>X69-X70</f>
        <v/>
      </c>
      <c r="AK69" s="18">
        <f>Z69-Z70</f>
        <v/>
      </c>
      <c r="AL69" s="18">
        <f>AB69-AB70</f>
        <v/>
      </c>
    </row>
    <row r="70">
      <c r="A70" s="16" t="n">
        <v>46204</v>
      </c>
      <c r="B70" s="17" t="n">
        <v>4.17</v>
      </c>
      <c r="C70" s="18">
        <f>(B70-B71)*100</f>
        <v/>
      </c>
      <c r="D70" s="17" t="n">
        <v>4.19</v>
      </c>
      <c r="E70" s="18">
        <f>(D70-D71)*100</f>
        <v/>
      </c>
      <c r="F70" s="17" t="n">
        <v>4.24</v>
      </c>
      <c r="G70" s="18">
        <f>(F70-F71)*100</f>
        <v/>
      </c>
      <c r="H70" s="17" t="n">
        <v>4.48</v>
      </c>
      <c r="I70" s="18">
        <f>(H70-H71)*100</f>
        <v/>
      </c>
      <c r="J70" s="17" t="n">
        <v>4.97</v>
      </c>
      <c r="K70" s="18">
        <f>(J70-J71)*100</f>
        <v/>
      </c>
      <c r="L70" s="18">
        <f>(F70-B70)*100</f>
        <v/>
      </c>
      <c r="M70" s="20">
        <f>(L70-$D$9)/$E$9</f>
        <v/>
      </c>
      <c r="N70" s="18">
        <f>(F70-D70)*100</f>
        <v/>
      </c>
      <c r="O70" s="20">
        <f>(N70-$D$10)/$E$10</f>
        <v/>
      </c>
      <c r="P70" s="18">
        <f>(H70-F70)*100</f>
        <v/>
      </c>
      <c r="Q70" s="20">
        <f>(P70-$D$11)/$E$11</f>
        <v/>
      </c>
      <c r="R70" s="18">
        <f>(J70-F70)*100</f>
        <v/>
      </c>
      <c r="S70" s="20">
        <f>(R70-$D$12)/$E$12</f>
        <v/>
      </c>
      <c r="T70" s="18">
        <f>(H70-B70)*100</f>
        <v/>
      </c>
      <c r="U70" s="20">
        <f>(T70-$D$13)/$E$13</f>
        <v/>
      </c>
      <c r="V70" s="18">
        <f>(H70-D70)*100</f>
        <v/>
      </c>
      <c r="W70" s="20">
        <f>(V70-$D$14)/$E$14</f>
        <v/>
      </c>
      <c r="X70" s="18">
        <f>(J70-H70)*100</f>
        <v/>
      </c>
      <c r="Y70" s="20">
        <f>(X70-$D$15)/$E$15</f>
        <v/>
      </c>
      <c r="Z70" s="18">
        <f>(J70-B70)*100</f>
        <v/>
      </c>
      <c r="AA70" s="20">
        <f>(Z70-$D$16)/$E$16</f>
        <v/>
      </c>
      <c r="AB70" s="18">
        <f>(2*F70-B70-H70)*100</f>
        <v/>
      </c>
      <c r="AC70" s="20">
        <f>(AB70-$D$17)/$E$17</f>
        <v/>
      </c>
      <c r="AD70" s="18">
        <f>L70-L71</f>
        <v/>
      </c>
      <c r="AE70" s="18">
        <f>N70-N71</f>
        <v/>
      </c>
      <c r="AF70" s="18">
        <f>P70-P71</f>
        <v/>
      </c>
      <c r="AG70" s="18">
        <f>R70-R71</f>
        <v/>
      </c>
      <c r="AH70" s="18">
        <f>T70-T71</f>
        <v/>
      </c>
      <c r="AI70" s="18">
        <f>V70-V71</f>
        <v/>
      </c>
      <c r="AJ70" s="18">
        <f>X70-X71</f>
        <v/>
      </c>
      <c r="AK70" s="18">
        <f>Z70-Z71</f>
        <v/>
      </c>
      <c r="AL70" s="18">
        <f>AB70-AB71</f>
        <v/>
      </c>
    </row>
    <row r="71">
      <c r="A71" s="16" t="n">
        <v>46203</v>
      </c>
      <c r="B71" s="17" t="n">
        <v>4.14</v>
      </c>
      <c r="C71" s="18">
        <f>(B71-B72)*100</f>
        <v/>
      </c>
      <c r="D71" s="17" t="n">
        <v>4.15</v>
      </c>
      <c r="E71" s="18">
        <f>(D71-D72)*100</f>
        <v/>
      </c>
      <c r="F71" s="17" t="n">
        <v>4.19</v>
      </c>
      <c r="G71" s="18">
        <f>(F71-F72)*100</f>
        <v/>
      </c>
      <c r="H71" s="17" t="n">
        <v>4.44</v>
      </c>
      <c r="I71" s="18">
        <f>(H71-H72)*100</f>
        <v/>
      </c>
      <c r="J71" s="17" t="n">
        <v>4.91</v>
      </c>
      <c r="K71" s="18">
        <f>(J71-J72)*100</f>
        <v/>
      </c>
      <c r="L71" s="18">
        <f>(F71-B71)*100</f>
        <v/>
      </c>
      <c r="M71" s="20">
        <f>(L71-$D$9)/$E$9</f>
        <v/>
      </c>
      <c r="N71" s="18">
        <f>(F71-D71)*100</f>
        <v/>
      </c>
      <c r="O71" s="20">
        <f>(N71-$D$10)/$E$10</f>
        <v/>
      </c>
      <c r="P71" s="18">
        <f>(H71-F71)*100</f>
        <v/>
      </c>
      <c r="Q71" s="20">
        <f>(P71-$D$11)/$E$11</f>
        <v/>
      </c>
      <c r="R71" s="18">
        <f>(J71-F71)*100</f>
        <v/>
      </c>
      <c r="S71" s="20">
        <f>(R71-$D$12)/$E$12</f>
        <v/>
      </c>
      <c r="T71" s="18">
        <f>(H71-B71)*100</f>
        <v/>
      </c>
      <c r="U71" s="20">
        <f>(T71-$D$13)/$E$13</f>
        <v/>
      </c>
      <c r="V71" s="18">
        <f>(H71-D71)*100</f>
        <v/>
      </c>
      <c r="W71" s="20">
        <f>(V71-$D$14)/$E$14</f>
        <v/>
      </c>
      <c r="X71" s="18">
        <f>(J71-H71)*100</f>
        <v/>
      </c>
      <c r="Y71" s="20">
        <f>(X71-$D$15)/$E$15</f>
        <v/>
      </c>
      <c r="Z71" s="18">
        <f>(J71-B71)*100</f>
        <v/>
      </c>
      <c r="AA71" s="20">
        <f>(Z71-$D$16)/$E$16</f>
        <v/>
      </c>
      <c r="AB71" s="18">
        <f>(2*F71-B71-H71)*100</f>
        <v/>
      </c>
      <c r="AC71" s="20">
        <f>(AB71-$D$17)/$E$17</f>
        <v/>
      </c>
      <c r="AD71" s="18">
        <f>L71-L72</f>
        <v/>
      </c>
      <c r="AE71" s="18">
        <f>N71-N72</f>
        <v/>
      </c>
      <c r="AF71" s="18">
        <f>P71-P72</f>
        <v/>
      </c>
      <c r="AG71" s="18">
        <f>R71-R72</f>
        <v/>
      </c>
      <c r="AH71" s="18">
        <f>T71-T72</f>
        <v/>
      </c>
      <c r="AI71" s="18">
        <f>V71-V72</f>
        <v/>
      </c>
      <c r="AJ71" s="18">
        <f>X71-X72</f>
        <v/>
      </c>
      <c r="AK71" s="18">
        <f>Z71-Z72</f>
        <v/>
      </c>
      <c r="AL71" s="18">
        <f>AB71-AB72</f>
        <v/>
      </c>
    </row>
    <row r="72">
      <c r="A72" s="16" t="n">
        <v>46202</v>
      </c>
      <c r="B72" s="17" t="n">
        <v>4.1</v>
      </c>
      <c r="C72" s="18">
        <f>(B72-B73)*100</f>
        <v/>
      </c>
      <c r="D72" s="17" t="n">
        <v>4.1</v>
      </c>
      <c r="E72" s="18">
        <f>(D72-D73)*100</f>
        <v/>
      </c>
      <c r="F72" s="17" t="n">
        <v>4.14</v>
      </c>
      <c r="G72" s="18">
        <f>(F72-F73)*100</f>
        <v/>
      </c>
      <c r="H72" s="17" t="n">
        <v>4.38</v>
      </c>
      <c r="I72" s="18">
        <f>(H72-H73)*100</f>
        <v/>
      </c>
      <c r="J72" s="17" t="n">
        <v>4.86</v>
      </c>
      <c r="K72" s="18">
        <f>(J72-J73)*100</f>
        <v/>
      </c>
      <c r="L72" s="18">
        <f>(F72-B72)*100</f>
        <v/>
      </c>
      <c r="M72" s="20">
        <f>(L72-$D$9)/$E$9</f>
        <v/>
      </c>
      <c r="N72" s="18">
        <f>(F72-D72)*100</f>
        <v/>
      </c>
      <c r="O72" s="20">
        <f>(N72-$D$10)/$E$10</f>
        <v/>
      </c>
      <c r="P72" s="18">
        <f>(H72-F72)*100</f>
        <v/>
      </c>
      <c r="Q72" s="20">
        <f>(P72-$D$11)/$E$11</f>
        <v/>
      </c>
      <c r="R72" s="18">
        <f>(J72-F72)*100</f>
        <v/>
      </c>
      <c r="S72" s="20">
        <f>(R72-$D$12)/$E$12</f>
        <v/>
      </c>
      <c r="T72" s="18">
        <f>(H72-B72)*100</f>
        <v/>
      </c>
      <c r="U72" s="20">
        <f>(T72-$D$13)/$E$13</f>
        <v/>
      </c>
      <c r="V72" s="18">
        <f>(H72-D72)*100</f>
        <v/>
      </c>
      <c r="W72" s="20">
        <f>(V72-$D$14)/$E$14</f>
        <v/>
      </c>
      <c r="X72" s="18">
        <f>(J72-H72)*100</f>
        <v/>
      </c>
      <c r="Y72" s="20">
        <f>(X72-$D$15)/$E$15</f>
        <v/>
      </c>
      <c r="Z72" s="18">
        <f>(J72-B72)*100</f>
        <v/>
      </c>
      <c r="AA72" s="20">
        <f>(Z72-$D$16)/$E$16</f>
        <v/>
      </c>
      <c r="AB72" s="18">
        <f>(2*F72-B72-H72)*100</f>
        <v/>
      </c>
      <c r="AC72" s="20">
        <f>(AB72-$D$17)/$E$17</f>
        <v/>
      </c>
      <c r="AD72" s="18">
        <f>L72-L73</f>
        <v/>
      </c>
      <c r="AE72" s="18">
        <f>N72-N73</f>
        <v/>
      </c>
      <c r="AF72" s="18">
        <f>P72-P73</f>
        <v/>
      </c>
      <c r="AG72" s="18">
        <f>R72-R73</f>
        <v/>
      </c>
      <c r="AH72" s="18">
        <f>T72-T73</f>
        <v/>
      </c>
      <c r="AI72" s="18">
        <f>V72-V73</f>
        <v/>
      </c>
      <c r="AJ72" s="18">
        <f>X72-X73</f>
        <v/>
      </c>
      <c r="AK72" s="18">
        <f>Z72-Z73</f>
        <v/>
      </c>
      <c r="AL72" s="18">
        <f>AB72-AB73</f>
        <v/>
      </c>
    </row>
    <row r="73">
      <c r="A73" s="16" t="n">
        <v>46199</v>
      </c>
      <c r="B73" s="17" t="n">
        <v>4.07</v>
      </c>
      <c r="C73" s="18">
        <f>(B73-B74)*100</f>
        <v/>
      </c>
      <c r="D73" s="17" t="n">
        <v>4.09</v>
      </c>
      <c r="E73" s="18">
        <f>(D73-D74)*100</f>
        <v/>
      </c>
      <c r="F73" s="17" t="n">
        <v>4.12</v>
      </c>
      <c r="G73" s="18">
        <f>(F73-F74)*100</f>
        <v/>
      </c>
      <c r="H73" s="17" t="n">
        <v>4.38</v>
      </c>
      <c r="I73" s="18">
        <f>(H73-H74)*100</f>
        <v/>
      </c>
      <c r="J73" s="17" t="n">
        <v>4.87</v>
      </c>
      <c r="K73" s="18">
        <f>(J73-J74)*100</f>
        <v/>
      </c>
      <c r="L73" s="18">
        <f>(F73-B73)*100</f>
        <v/>
      </c>
      <c r="M73" s="20">
        <f>(L73-$D$9)/$E$9</f>
        <v/>
      </c>
      <c r="N73" s="18">
        <f>(F73-D73)*100</f>
        <v/>
      </c>
      <c r="O73" s="20">
        <f>(N73-$D$10)/$E$10</f>
        <v/>
      </c>
      <c r="P73" s="18">
        <f>(H73-F73)*100</f>
        <v/>
      </c>
      <c r="Q73" s="20">
        <f>(P73-$D$11)/$E$11</f>
        <v/>
      </c>
      <c r="R73" s="18">
        <f>(J73-F73)*100</f>
        <v/>
      </c>
      <c r="S73" s="20">
        <f>(R73-$D$12)/$E$12</f>
        <v/>
      </c>
      <c r="T73" s="18">
        <f>(H73-B73)*100</f>
        <v/>
      </c>
      <c r="U73" s="20">
        <f>(T73-$D$13)/$E$13</f>
        <v/>
      </c>
      <c r="V73" s="18">
        <f>(H73-D73)*100</f>
        <v/>
      </c>
      <c r="W73" s="20">
        <f>(V73-$D$14)/$E$14</f>
        <v/>
      </c>
      <c r="X73" s="18">
        <f>(J73-H73)*100</f>
        <v/>
      </c>
      <c r="Y73" s="20">
        <f>(X73-$D$15)/$E$15</f>
        <v/>
      </c>
      <c r="Z73" s="18">
        <f>(J73-B73)*100</f>
        <v/>
      </c>
      <c r="AA73" s="20">
        <f>(Z73-$D$16)/$E$16</f>
        <v/>
      </c>
      <c r="AB73" s="18">
        <f>(2*F73-B73-H73)*100</f>
        <v/>
      </c>
      <c r="AC73" s="20">
        <f>(AB73-$D$17)/$E$17</f>
        <v/>
      </c>
      <c r="AD73" s="18">
        <f>L73-L74</f>
        <v/>
      </c>
      <c r="AE73" s="18">
        <f>N73-N74</f>
        <v/>
      </c>
      <c r="AF73" s="18">
        <f>P73-P74</f>
        <v/>
      </c>
      <c r="AG73" s="18">
        <f>R73-R74</f>
        <v/>
      </c>
      <c r="AH73" s="18">
        <f>T73-T74</f>
        <v/>
      </c>
      <c r="AI73" s="18">
        <f>V73-V74</f>
        <v/>
      </c>
      <c r="AJ73" s="18">
        <f>X73-X74</f>
        <v/>
      </c>
      <c r="AK73" s="18">
        <f>Z73-Z74</f>
        <v/>
      </c>
      <c r="AL73" s="18">
        <f>AB73-AB74</f>
        <v/>
      </c>
    </row>
    <row r="74">
      <c r="A74" s="16" t="n">
        <v>46198</v>
      </c>
      <c r="B74" s="17" t="n">
        <v>4.09</v>
      </c>
      <c r="C74" s="18">
        <f>(B74-B75)*100</f>
        <v/>
      </c>
      <c r="D74" s="17" t="n">
        <v>4.13</v>
      </c>
      <c r="E74" s="18">
        <f>(D74-D75)*100</f>
        <v/>
      </c>
      <c r="F74" s="17" t="n">
        <v>4.15</v>
      </c>
      <c r="G74" s="18">
        <f>(F74-F75)*100</f>
        <v/>
      </c>
      <c r="H74" s="17" t="n">
        <v>4.4</v>
      </c>
      <c r="I74" s="18">
        <f>(H74-H75)*100</f>
        <v/>
      </c>
      <c r="J74" s="17" t="n">
        <v>4.86</v>
      </c>
      <c r="K74" s="18">
        <f>(J74-J75)*100</f>
        <v/>
      </c>
      <c r="L74" s="18">
        <f>(F74-B74)*100</f>
        <v/>
      </c>
      <c r="M74" s="20">
        <f>(L74-$D$9)/$E$9</f>
        <v/>
      </c>
      <c r="N74" s="18">
        <f>(F74-D74)*100</f>
        <v/>
      </c>
      <c r="O74" s="20">
        <f>(N74-$D$10)/$E$10</f>
        <v/>
      </c>
      <c r="P74" s="18">
        <f>(H74-F74)*100</f>
        <v/>
      </c>
      <c r="Q74" s="20">
        <f>(P74-$D$11)/$E$11</f>
        <v/>
      </c>
      <c r="R74" s="18">
        <f>(J74-F74)*100</f>
        <v/>
      </c>
      <c r="S74" s="20">
        <f>(R74-$D$12)/$E$12</f>
        <v/>
      </c>
      <c r="T74" s="18">
        <f>(H74-B74)*100</f>
        <v/>
      </c>
      <c r="U74" s="20">
        <f>(T74-$D$13)/$E$13</f>
        <v/>
      </c>
      <c r="V74" s="18">
        <f>(H74-D74)*100</f>
        <v/>
      </c>
      <c r="W74" s="20">
        <f>(V74-$D$14)/$E$14</f>
        <v/>
      </c>
      <c r="X74" s="18">
        <f>(J74-H74)*100</f>
        <v/>
      </c>
      <c r="Y74" s="20">
        <f>(X74-$D$15)/$E$15</f>
        <v/>
      </c>
      <c r="Z74" s="18">
        <f>(J74-B74)*100</f>
        <v/>
      </c>
      <c r="AA74" s="20">
        <f>(Z74-$D$16)/$E$16</f>
        <v/>
      </c>
      <c r="AB74" s="18">
        <f>(2*F74-B74-H74)*100</f>
        <v/>
      </c>
      <c r="AC74" s="20">
        <f>(AB74-$D$17)/$E$17</f>
        <v/>
      </c>
      <c r="AD74" s="18">
        <f>L74-L75</f>
        <v/>
      </c>
      <c r="AE74" s="18">
        <f>N74-N75</f>
        <v/>
      </c>
      <c r="AF74" s="18">
        <f>P74-P75</f>
        <v/>
      </c>
      <c r="AG74" s="18">
        <f>R74-R75</f>
        <v/>
      </c>
      <c r="AH74" s="18">
        <f>T74-T75</f>
        <v/>
      </c>
      <c r="AI74" s="18">
        <f>V74-V75</f>
        <v/>
      </c>
      <c r="AJ74" s="18">
        <f>X74-X75</f>
        <v/>
      </c>
      <c r="AK74" s="18">
        <f>Z74-Z75</f>
        <v/>
      </c>
      <c r="AL74" s="18">
        <f>AB74-AB75</f>
        <v/>
      </c>
    </row>
    <row r="75">
      <c r="A75" s="16" t="n">
        <v>46197</v>
      </c>
      <c r="B75" s="17" t="n">
        <v>4.11</v>
      </c>
      <c r="C75" s="18">
        <f>(B75-B76)*100</f>
        <v/>
      </c>
      <c r="D75" s="17" t="n">
        <v>4.15</v>
      </c>
      <c r="E75" s="18">
        <f>(D75-D76)*100</f>
        <v/>
      </c>
      <c r="F75" s="17" t="n">
        <v>4.17</v>
      </c>
      <c r="G75" s="18">
        <f>(F75-F76)*100</f>
        <v/>
      </c>
      <c r="H75" s="17" t="n">
        <v>4.41</v>
      </c>
      <c r="I75" s="18">
        <f>(H75-H76)*100</f>
        <v/>
      </c>
      <c r="J75" s="17" t="n">
        <v>4.86</v>
      </c>
      <c r="K75" s="18">
        <f>(J75-J76)*100</f>
        <v/>
      </c>
      <c r="L75" s="18">
        <f>(F75-B75)*100</f>
        <v/>
      </c>
      <c r="M75" s="20">
        <f>(L75-$D$9)/$E$9</f>
        <v/>
      </c>
      <c r="N75" s="18">
        <f>(F75-D75)*100</f>
        <v/>
      </c>
      <c r="O75" s="20">
        <f>(N75-$D$10)/$E$10</f>
        <v/>
      </c>
      <c r="P75" s="18">
        <f>(H75-F75)*100</f>
        <v/>
      </c>
      <c r="Q75" s="20">
        <f>(P75-$D$11)/$E$11</f>
        <v/>
      </c>
      <c r="R75" s="18">
        <f>(J75-F75)*100</f>
        <v/>
      </c>
      <c r="S75" s="20">
        <f>(R75-$D$12)/$E$12</f>
        <v/>
      </c>
      <c r="T75" s="18">
        <f>(H75-B75)*100</f>
        <v/>
      </c>
      <c r="U75" s="20">
        <f>(T75-$D$13)/$E$13</f>
        <v/>
      </c>
      <c r="V75" s="18">
        <f>(H75-D75)*100</f>
        <v/>
      </c>
      <c r="W75" s="20">
        <f>(V75-$D$14)/$E$14</f>
        <v/>
      </c>
      <c r="X75" s="18">
        <f>(J75-H75)*100</f>
        <v/>
      </c>
      <c r="Y75" s="20">
        <f>(X75-$D$15)/$E$15</f>
        <v/>
      </c>
      <c r="Z75" s="18">
        <f>(J75-B75)*100</f>
        <v/>
      </c>
      <c r="AA75" s="20">
        <f>(Z75-$D$16)/$E$16</f>
        <v/>
      </c>
      <c r="AB75" s="18">
        <f>(2*F75-B75-H75)*100</f>
        <v/>
      </c>
      <c r="AC75" s="20">
        <f>(AB75-$D$17)/$E$17</f>
        <v/>
      </c>
      <c r="AD75" s="18">
        <f>L75-L76</f>
        <v/>
      </c>
      <c r="AE75" s="18">
        <f>N75-N76</f>
        <v/>
      </c>
      <c r="AF75" s="18">
        <f>P75-P76</f>
        <v/>
      </c>
      <c r="AG75" s="18">
        <f>R75-R76</f>
        <v/>
      </c>
      <c r="AH75" s="18">
        <f>T75-T76</f>
        <v/>
      </c>
      <c r="AI75" s="18">
        <f>V75-V76</f>
        <v/>
      </c>
      <c r="AJ75" s="18">
        <f>X75-X76</f>
        <v/>
      </c>
      <c r="AK75" s="18">
        <f>Z75-Z76</f>
        <v/>
      </c>
      <c r="AL75" s="18">
        <f>AB75-AB76</f>
        <v/>
      </c>
    </row>
    <row r="76">
      <c r="A76" s="16" t="n">
        <v>46196</v>
      </c>
      <c r="B76" s="17" t="n">
        <v>4.16</v>
      </c>
      <c r="C76" s="18">
        <f>(B76-B77)*100</f>
        <v/>
      </c>
      <c r="D76" s="17" t="n">
        <v>4.22</v>
      </c>
      <c r="E76" s="18">
        <f>(D76-D77)*100</f>
        <v/>
      </c>
      <c r="F76" s="17" t="n">
        <v>4.27</v>
      </c>
      <c r="G76" s="18">
        <f>(F76-F77)*100</f>
        <v/>
      </c>
      <c r="H76" s="17" t="n">
        <v>4.5</v>
      </c>
      <c r="I76" s="18">
        <f>(H76-H77)*100</f>
        <v/>
      </c>
      <c r="J76" s="17" t="n">
        <v>4.94</v>
      </c>
      <c r="K76" s="18">
        <f>(J76-J77)*100</f>
        <v/>
      </c>
      <c r="L76" s="18">
        <f>(F76-B76)*100</f>
        <v/>
      </c>
      <c r="M76" s="20">
        <f>(L76-$D$9)/$E$9</f>
        <v/>
      </c>
      <c r="N76" s="18">
        <f>(F76-D76)*100</f>
        <v/>
      </c>
      <c r="O76" s="20">
        <f>(N76-$D$10)/$E$10</f>
        <v/>
      </c>
      <c r="P76" s="18">
        <f>(H76-F76)*100</f>
        <v/>
      </c>
      <c r="Q76" s="20">
        <f>(P76-$D$11)/$E$11</f>
        <v/>
      </c>
      <c r="R76" s="18">
        <f>(J76-F76)*100</f>
        <v/>
      </c>
      <c r="S76" s="20">
        <f>(R76-$D$12)/$E$12</f>
        <v/>
      </c>
      <c r="T76" s="18">
        <f>(H76-B76)*100</f>
        <v/>
      </c>
      <c r="U76" s="20">
        <f>(T76-$D$13)/$E$13</f>
        <v/>
      </c>
      <c r="V76" s="18">
        <f>(H76-D76)*100</f>
        <v/>
      </c>
      <c r="W76" s="20">
        <f>(V76-$D$14)/$E$14</f>
        <v/>
      </c>
      <c r="X76" s="18">
        <f>(J76-H76)*100</f>
        <v/>
      </c>
      <c r="Y76" s="20">
        <f>(X76-$D$15)/$E$15</f>
        <v/>
      </c>
      <c r="Z76" s="18">
        <f>(J76-B76)*100</f>
        <v/>
      </c>
      <c r="AA76" s="20">
        <f>(Z76-$D$16)/$E$16</f>
        <v/>
      </c>
      <c r="AB76" s="18">
        <f>(2*F76-B76-H76)*100</f>
        <v/>
      </c>
      <c r="AC76" s="20">
        <f>(AB76-$D$17)/$E$17</f>
        <v/>
      </c>
      <c r="AD76" s="18">
        <f>L76-L77</f>
        <v/>
      </c>
      <c r="AE76" s="18">
        <f>N76-N77</f>
        <v/>
      </c>
      <c r="AF76" s="18">
        <f>P76-P77</f>
        <v/>
      </c>
      <c r="AG76" s="18">
        <f>R76-R77</f>
        <v/>
      </c>
      <c r="AH76" s="18">
        <f>T76-T77</f>
        <v/>
      </c>
      <c r="AI76" s="18">
        <f>V76-V77</f>
        <v/>
      </c>
      <c r="AJ76" s="18">
        <f>X76-X77</f>
        <v/>
      </c>
      <c r="AK76" s="18">
        <f>Z76-Z77</f>
        <v/>
      </c>
      <c r="AL76" s="18">
        <f>AB76-AB77</f>
        <v/>
      </c>
    </row>
    <row r="77">
      <c r="A77" s="16" t="n">
        <v>46195</v>
      </c>
      <c r="B77" s="17" t="n">
        <v>4.24</v>
      </c>
      <c r="C77" s="18">
        <f>(B77-B78)*100</f>
        <v/>
      </c>
      <c r="D77" s="17" t="n">
        <v>4.25</v>
      </c>
      <c r="E77" s="18">
        <f>(D77-D78)*100</f>
        <v/>
      </c>
      <c r="F77" s="17" t="n">
        <v>4.29</v>
      </c>
      <c r="G77" s="18">
        <f>(F77-F78)*100</f>
        <v/>
      </c>
      <c r="H77" s="17" t="n">
        <v>4.51</v>
      </c>
      <c r="I77" s="18">
        <f>(H77-H78)*100</f>
        <v/>
      </c>
      <c r="J77" s="17" t="n">
        <v>4.95</v>
      </c>
      <c r="K77" s="18">
        <f>(J77-J78)*100</f>
        <v/>
      </c>
      <c r="L77" s="18">
        <f>(F77-B77)*100</f>
        <v/>
      </c>
      <c r="M77" s="20">
        <f>(L77-$D$9)/$E$9</f>
        <v/>
      </c>
      <c r="N77" s="18">
        <f>(F77-D77)*100</f>
        <v/>
      </c>
      <c r="O77" s="20">
        <f>(N77-$D$10)/$E$10</f>
        <v/>
      </c>
      <c r="P77" s="18">
        <f>(H77-F77)*100</f>
        <v/>
      </c>
      <c r="Q77" s="20">
        <f>(P77-$D$11)/$E$11</f>
        <v/>
      </c>
      <c r="R77" s="18">
        <f>(J77-F77)*100</f>
        <v/>
      </c>
      <c r="S77" s="20">
        <f>(R77-$D$12)/$E$12</f>
        <v/>
      </c>
      <c r="T77" s="18">
        <f>(H77-B77)*100</f>
        <v/>
      </c>
      <c r="U77" s="20">
        <f>(T77-$D$13)/$E$13</f>
        <v/>
      </c>
      <c r="V77" s="18">
        <f>(H77-D77)*100</f>
        <v/>
      </c>
      <c r="W77" s="20">
        <f>(V77-$D$14)/$E$14</f>
        <v/>
      </c>
      <c r="X77" s="18">
        <f>(J77-H77)*100</f>
        <v/>
      </c>
      <c r="Y77" s="20">
        <f>(X77-$D$15)/$E$15</f>
        <v/>
      </c>
      <c r="Z77" s="18">
        <f>(J77-B77)*100</f>
        <v/>
      </c>
      <c r="AA77" s="20">
        <f>(Z77-$D$16)/$E$16</f>
        <v/>
      </c>
      <c r="AB77" s="18">
        <f>(2*F77-B77-H77)*100</f>
        <v/>
      </c>
      <c r="AC77" s="20">
        <f>(AB77-$D$17)/$E$17</f>
        <v/>
      </c>
      <c r="AD77" s="18">
        <f>L77-L78</f>
        <v/>
      </c>
      <c r="AE77" s="18">
        <f>N77-N78</f>
        <v/>
      </c>
      <c r="AF77" s="18">
        <f>P77-P78</f>
        <v/>
      </c>
      <c r="AG77" s="18">
        <f>R77-R78</f>
        <v/>
      </c>
      <c r="AH77" s="18">
        <f>T77-T78</f>
        <v/>
      </c>
      <c r="AI77" s="18">
        <f>V77-V78</f>
        <v/>
      </c>
      <c r="AJ77" s="18">
        <f>X77-X78</f>
        <v/>
      </c>
      <c r="AK77" s="18">
        <f>Z77-Z78</f>
        <v/>
      </c>
      <c r="AL77" s="18">
        <f>AB77-AB78</f>
        <v/>
      </c>
    </row>
    <row r="78">
      <c r="A78" s="16" t="n">
        <v>46191</v>
      </c>
      <c r="B78" s="17" t="n">
        <v>4.19</v>
      </c>
      <c r="C78" s="18">
        <f>(B78-B79)*100</f>
        <v/>
      </c>
      <c r="D78" s="17" t="n">
        <v>4.19</v>
      </c>
      <c r="E78" s="18">
        <f>(D78-D79)*100</f>
        <v/>
      </c>
      <c r="F78" s="17" t="n">
        <v>4.23</v>
      </c>
      <c r="G78" s="18">
        <f>(F78-F79)*100</f>
        <v/>
      </c>
      <c r="H78" s="17" t="n">
        <v>4.46</v>
      </c>
      <c r="I78" s="18">
        <f>(H78-H79)*100</f>
        <v/>
      </c>
      <c r="J78" s="17" t="n">
        <v>4.9</v>
      </c>
      <c r="K78" s="18">
        <f>(J78-J79)*100</f>
        <v/>
      </c>
      <c r="L78" s="18">
        <f>(F78-B78)*100</f>
        <v/>
      </c>
      <c r="M78" s="20">
        <f>(L78-$D$9)/$E$9</f>
        <v/>
      </c>
      <c r="N78" s="18">
        <f>(F78-D78)*100</f>
        <v/>
      </c>
      <c r="O78" s="20">
        <f>(N78-$D$10)/$E$10</f>
        <v/>
      </c>
      <c r="P78" s="18">
        <f>(H78-F78)*100</f>
        <v/>
      </c>
      <c r="Q78" s="20">
        <f>(P78-$D$11)/$E$11</f>
        <v/>
      </c>
      <c r="R78" s="18">
        <f>(J78-F78)*100</f>
        <v/>
      </c>
      <c r="S78" s="20">
        <f>(R78-$D$12)/$E$12</f>
        <v/>
      </c>
      <c r="T78" s="18">
        <f>(H78-B78)*100</f>
        <v/>
      </c>
      <c r="U78" s="20">
        <f>(T78-$D$13)/$E$13</f>
        <v/>
      </c>
      <c r="V78" s="18">
        <f>(H78-D78)*100</f>
        <v/>
      </c>
      <c r="W78" s="20">
        <f>(V78-$D$14)/$E$14</f>
        <v/>
      </c>
      <c r="X78" s="18">
        <f>(J78-H78)*100</f>
        <v/>
      </c>
      <c r="Y78" s="20">
        <f>(X78-$D$15)/$E$15</f>
        <v/>
      </c>
      <c r="Z78" s="18">
        <f>(J78-B78)*100</f>
        <v/>
      </c>
      <c r="AA78" s="20">
        <f>(Z78-$D$16)/$E$16</f>
        <v/>
      </c>
      <c r="AB78" s="18">
        <f>(2*F78-B78-H78)*100</f>
        <v/>
      </c>
      <c r="AC78" s="20">
        <f>(AB78-$D$17)/$E$17</f>
        <v/>
      </c>
      <c r="AD78" s="18">
        <f>L78-L79</f>
        <v/>
      </c>
      <c r="AE78" s="18">
        <f>N78-N79</f>
        <v/>
      </c>
      <c r="AF78" s="18">
        <f>P78-P79</f>
        <v/>
      </c>
      <c r="AG78" s="18">
        <f>R78-R79</f>
        <v/>
      </c>
      <c r="AH78" s="18">
        <f>T78-T79</f>
        <v/>
      </c>
      <c r="AI78" s="18">
        <f>V78-V79</f>
        <v/>
      </c>
      <c r="AJ78" s="18">
        <f>X78-X79</f>
        <v/>
      </c>
      <c r="AK78" s="18">
        <f>Z78-Z79</f>
        <v/>
      </c>
      <c r="AL78" s="18">
        <f>AB78-AB79</f>
        <v/>
      </c>
    </row>
    <row r="79">
      <c r="A79" s="16" t="n">
        <v>46190</v>
      </c>
      <c r="B79" s="17" t="n">
        <v>4.2</v>
      </c>
      <c r="C79" s="18">
        <f>(B79-B80)*100</f>
        <v/>
      </c>
      <c r="D79" s="17" t="n">
        <v>4.23</v>
      </c>
      <c r="E79" s="18">
        <f>(D79-D80)*100</f>
        <v/>
      </c>
      <c r="F79" s="17" t="n">
        <v>4.27</v>
      </c>
      <c r="G79" s="18">
        <f>(F79-F80)*100</f>
        <v/>
      </c>
      <c r="H79" s="17" t="n">
        <v>4.49</v>
      </c>
      <c r="I79" s="18">
        <f>(H79-H80)*100</f>
        <v/>
      </c>
      <c r="J79" s="17" t="n">
        <v>4.93</v>
      </c>
      <c r="K79" s="18">
        <f>(J79-J80)*100</f>
        <v/>
      </c>
      <c r="L79" s="18">
        <f>(F79-B79)*100</f>
        <v/>
      </c>
      <c r="M79" s="20">
        <f>(L79-$D$9)/$E$9</f>
        <v/>
      </c>
      <c r="N79" s="18">
        <f>(F79-D79)*100</f>
        <v/>
      </c>
      <c r="O79" s="20">
        <f>(N79-$D$10)/$E$10</f>
        <v/>
      </c>
      <c r="P79" s="18">
        <f>(H79-F79)*100</f>
        <v/>
      </c>
      <c r="Q79" s="20">
        <f>(P79-$D$11)/$E$11</f>
        <v/>
      </c>
      <c r="R79" s="18">
        <f>(J79-F79)*100</f>
        <v/>
      </c>
      <c r="S79" s="20">
        <f>(R79-$D$12)/$E$12</f>
        <v/>
      </c>
      <c r="T79" s="18">
        <f>(H79-B79)*100</f>
        <v/>
      </c>
      <c r="U79" s="20">
        <f>(T79-$D$13)/$E$13</f>
        <v/>
      </c>
      <c r="V79" s="18">
        <f>(H79-D79)*100</f>
        <v/>
      </c>
      <c r="W79" s="20">
        <f>(V79-$D$14)/$E$14</f>
        <v/>
      </c>
      <c r="X79" s="18">
        <f>(J79-H79)*100</f>
        <v/>
      </c>
      <c r="Y79" s="20">
        <f>(X79-$D$15)/$E$15</f>
        <v/>
      </c>
      <c r="Z79" s="18">
        <f>(J79-B79)*100</f>
        <v/>
      </c>
      <c r="AA79" s="20">
        <f>(Z79-$D$16)/$E$16</f>
        <v/>
      </c>
      <c r="AB79" s="18">
        <f>(2*F79-B79-H79)*100</f>
        <v/>
      </c>
      <c r="AC79" s="20">
        <f>(AB79-$D$17)/$E$17</f>
        <v/>
      </c>
      <c r="AD79" s="18">
        <f>L79-L80</f>
        <v/>
      </c>
      <c r="AE79" s="18">
        <f>N79-N80</f>
        <v/>
      </c>
      <c r="AF79" s="18">
        <f>P79-P80</f>
        <v/>
      </c>
      <c r="AG79" s="18">
        <f>R79-R80</f>
        <v/>
      </c>
      <c r="AH79" s="18">
        <f>T79-T80</f>
        <v/>
      </c>
      <c r="AI79" s="18">
        <f>V79-V80</f>
        <v/>
      </c>
      <c r="AJ79" s="18">
        <f>X79-X80</f>
        <v/>
      </c>
      <c r="AK79" s="18">
        <f>Z79-Z80</f>
        <v/>
      </c>
      <c r="AL79" s="18">
        <f>AB79-AB80</f>
        <v/>
      </c>
    </row>
    <row r="80">
      <c r="A80" s="16" t="n">
        <v>46189</v>
      </c>
      <c r="B80" s="17" t="n">
        <v>4.05</v>
      </c>
      <c r="C80" s="18">
        <f>(B80-B81)*100</f>
        <v/>
      </c>
      <c r="D80" s="17" t="n">
        <v>4.08</v>
      </c>
      <c r="E80" s="18">
        <f>(D80-D81)*100</f>
        <v/>
      </c>
      <c r="F80" s="17" t="n">
        <v>4.16</v>
      </c>
      <c r="G80" s="18">
        <f>(F80-F81)*100</f>
        <v/>
      </c>
      <c r="H80" s="17" t="n">
        <v>4.43</v>
      </c>
      <c r="I80" s="18">
        <f>(H80-H81)*100</f>
        <v/>
      </c>
      <c r="J80" s="17" t="n">
        <v>4.93</v>
      </c>
      <c r="K80" s="18">
        <f>(J80-J81)*100</f>
        <v/>
      </c>
      <c r="L80" s="18">
        <f>(F80-B80)*100</f>
        <v/>
      </c>
      <c r="M80" s="20">
        <f>(L80-$D$9)/$E$9</f>
        <v/>
      </c>
      <c r="N80" s="18">
        <f>(F80-D80)*100</f>
        <v/>
      </c>
      <c r="O80" s="20">
        <f>(N80-$D$10)/$E$10</f>
        <v/>
      </c>
      <c r="P80" s="18">
        <f>(H80-F80)*100</f>
        <v/>
      </c>
      <c r="Q80" s="20">
        <f>(P80-$D$11)/$E$11</f>
        <v/>
      </c>
      <c r="R80" s="18">
        <f>(J80-F80)*100</f>
        <v/>
      </c>
      <c r="S80" s="20">
        <f>(R80-$D$12)/$E$12</f>
        <v/>
      </c>
      <c r="T80" s="18">
        <f>(H80-B80)*100</f>
        <v/>
      </c>
      <c r="U80" s="20">
        <f>(T80-$D$13)/$E$13</f>
        <v/>
      </c>
      <c r="V80" s="18">
        <f>(H80-D80)*100</f>
        <v/>
      </c>
      <c r="W80" s="20">
        <f>(V80-$D$14)/$E$14</f>
        <v/>
      </c>
      <c r="X80" s="18">
        <f>(J80-H80)*100</f>
        <v/>
      </c>
      <c r="Y80" s="20">
        <f>(X80-$D$15)/$E$15</f>
        <v/>
      </c>
      <c r="Z80" s="18">
        <f>(J80-B80)*100</f>
        <v/>
      </c>
      <c r="AA80" s="20">
        <f>(Z80-$D$16)/$E$16</f>
        <v/>
      </c>
      <c r="AB80" s="18">
        <f>(2*F80-B80-H80)*100</f>
        <v/>
      </c>
      <c r="AC80" s="20">
        <f>(AB80-$D$17)/$E$17</f>
        <v/>
      </c>
      <c r="AD80" s="18">
        <f>L80-L81</f>
        <v/>
      </c>
      <c r="AE80" s="18">
        <f>N80-N81</f>
        <v/>
      </c>
      <c r="AF80" s="18">
        <f>P80-P81</f>
        <v/>
      </c>
      <c r="AG80" s="18">
        <f>R80-R81</f>
        <v/>
      </c>
      <c r="AH80" s="18">
        <f>T80-T81</f>
        <v/>
      </c>
      <c r="AI80" s="18">
        <f>V80-V81</f>
        <v/>
      </c>
      <c r="AJ80" s="18">
        <f>X80-X81</f>
        <v/>
      </c>
      <c r="AK80" s="18">
        <f>Z80-Z81</f>
        <v/>
      </c>
      <c r="AL80" s="18">
        <f>AB80-AB81</f>
        <v/>
      </c>
    </row>
    <row r="81">
      <c r="A81" s="16" t="n">
        <v>46188</v>
      </c>
      <c r="B81" s="17" t="n">
        <v>4.07</v>
      </c>
      <c r="C81" s="18">
        <f>(B81-B82)*100</f>
        <v/>
      </c>
      <c r="D81" s="17" t="n">
        <v>4.1</v>
      </c>
      <c r="E81" s="18">
        <f>(D81-D82)*100</f>
        <v/>
      </c>
      <c r="F81" s="17" t="n">
        <v>4.18</v>
      </c>
      <c r="G81" s="18">
        <f>(F81-F82)*100</f>
        <v/>
      </c>
      <c r="H81" s="17" t="n">
        <v>4.47</v>
      </c>
      <c r="I81" s="18">
        <f>(H81-H82)*100</f>
        <v/>
      </c>
      <c r="J81" s="17" t="n">
        <v>4.97</v>
      </c>
      <c r="K81" s="18">
        <f>(J81-J82)*100</f>
        <v/>
      </c>
      <c r="L81" s="18">
        <f>(F81-B81)*100</f>
        <v/>
      </c>
      <c r="M81" s="20">
        <f>(L81-$D$9)/$E$9</f>
        <v/>
      </c>
      <c r="N81" s="18">
        <f>(F81-D81)*100</f>
        <v/>
      </c>
      <c r="O81" s="20">
        <f>(N81-$D$10)/$E$10</f>
        <v/>
      </c>
      <c r="P81" s="18">
        <f>(H81-F81)*100</f>
        <v/>
      </c>
      <c r="Q81" s="20">
        <f>(P81-$D$11)/$E$11</f>
        <v/>
      </c>
      <c r="R81" s="18">
        <f>(J81-F81)*100</f>
        <v/>
      </c>
      <c r="S81" s="20">
        <f>(R81-$D$12)/$E$12</f>
        <v/>
      </c>
      <c r="T81" s="18">
        <f>(H81-B81)*100</f>
        <v/>
      </c>
      <c r="U81" s="20">
        <f>(T81-$D$13)/$E$13</f>
        <v/>
      </c>
      <c r="V81" s="18">
        <f>(H81-D81)*100</f>
        <v/>
      </c>
      <c r="W81" s="20">
        <f>(V81-$D$14)/$E$14</f>
        <v/>
      </c>
      <c r="X81" s="18">
        <f>(J81-H81)*100</f>
        <v/>
      </c>
      <c r="Y81" s="20">
        <f>(X81-$D$15)/$E$15</f>
        <v/>
      </c>
      <c r="Z81" s="18">
        <f>(J81-B81)*100</f>
        <v/>
      </c>
      <c r="AA81" s="20">
        <f>(Z81-$D$16)/$E$16</f>
        <v/>
      </c>
      <c r="AB81" s="18">
        <f>(2*F81-B81-H81)*100</f>
        <v/>
      </c>
      <c r="AC81" s="20">
        <f>(AB81-$D$17)/$E$17</f>
        <v/>
      </c>
      <c r="AD81" s="18">
        <f>L81-L82</f>
        <v/>
      </c>
      <c r="AE81" s="18">
        <f>N81-N82</f>
        <v/>
      </c>
      <c r="AF81" s="18">
        <f>P81-P82</f>
        <v/>
      </c>
      <c r="AG81" s="18">
        <f>R81-R82</f>
        <v/>
      </c>
      <c r="AH81" s="18">
        <f>T81-T82</f>
        <v/>
      </c>
      <c r="AI81" s="18">
        <f>V81-V82</f>
        <v/>
      </c>
      <c r="AJ81" s="18">
        <f>X81-X82</f>
        <v/>
      </c>
      <c r="AK81" s="18">
        <f>Z81-Z82</f>
        <v/>
      </c>
      <c r="AL81" s="18">
        <f>AB81-AB82</f>
        <v/>
      </c>
    </row>
    <row r="82">
      <c r="A82" s="16" t="n">
        <v>46185</v>
      </c>
      <c r="B82" s="17" t="n">
        <v>4.09</v>
      </c>
      <c r="C82" s="18">
        <f>(B82-B83)*100</f>
        <v/>
      </c>
      <c r="D82" s="17" t="n">
        <v>4.12</v>
      </c>
      <c r="E82" s="18">
        <f>(D82-D83)*100</f>
        <v/>
      </c>
      <c r="F82" s="17" t="n">
        <v>4.21</v>
      </c>
      <c r="G82" s="18">
        <f>(F82-F83)*100</f>
        <v/>
      </c>
      <c r="H82" s="17" t="n">
        <v>4.48</v>
      </c>
      <c r="I82" s="18">
        <f>(H82-H83)*100</f>
        <v/>
      </c>
      <c r="J82" s="17" t="n">
        <v>4.97</v>
      </c>
      <c r="K82" s="18">
        <f>(J82-J83)*100</f>
        <v/>
      </c>
      <c r="L82" s="18">
        <f>(F82-B82)*100</f>
        <v/>
      </c>
      <c r="M82" s="20">
        <f>(L82-$D$9)/$E$9</f>
        <v/>
      </c>
      <c r="N82" s="18">
        <f>(F82-D82)*100</f>
        <v/>
      </c>
      <c r="O82" s="20">
        <f>(N82-$D$10)/$E$10</f>
        <v/>
      </c>
      <c r="P82" s="18">
        <f>(H82-F82)*100</f>
        <v/>
      </c>
      <c r="Q82" s="20">
        <f>(P82-$D$11)/$E$11</f>
        <v/>
      </c>
      <c r="R82" s="18">
        <f>(J82-F82)*100</f>
        <v/>
      </c>
      <c r="S82" s="20">
        <f>(R82-$D$12)/$E$12</f>
        <v/>
      </c>
      <c r="T82" s="18">
        <f>(H82-B82)*100</f>
        <v/>
      </c>
      <c r="U82" s="20">
        <f>(T82-$D$13)/$E$13</f>
        <v/>
      </c>
      <c r="V82" s="18">
        <f>(H82-D82)*100</f>
        <v/>
      </c>
      <c r="W82" s="20">
        <f>(V82-$D$14)/$E$14</f>
        <v/>
      </c>
      <c r="X82" s="18">
        <f>(J82-H82)*100</f>
        <v/>
      </c>
      <c r="Y82" s="20">
        <f>(X82-$D$15)/$E$15</f>
        <v/>
      </c>
      <c r="Z82" s="18">
        <f>(J82-B82)*100</f>
        <v/>
      </c>
      <c r="AA82" s="20">
        <f>(Z82-$D$16)/$E$16</f>
        <v/>
      </c>
      <c r="AB82" s="18">
        <f>(2*F82-B82-H82)*100</f>
        <v/>
      </c>
      <c r="AC82" s="20">
        <f>(AB82-$D$17)/$E$17</f>
        <v/>
      </c>
      <c r="AD82" s="18">
        <f>L82-L83</f>
        <v/>
      </c>
      <c r="AE82" s="18">
        <f>N82-N83</f>
        <v/>
      </c>
      <c r="AF82" s="18">
        <f>P82-P83</f>
        <v/>
      </c>
      <c r="AG82" s="18">
        <f>R82-R83</f>
        <v/>
      </c>
      <c r="AH82" s="18">
        <f>T82-T83</f>
        <v/>
      </c>
      <c r="AI82" s="18">
        <f>V82-V83</f>
        <v/>
      </c>
      <c r="AJ82" s="18">
        <f>X82-X83</f>
        <v/>
      </c>
      <c r="AK82" s="18">
        <f>Z82-Z83</f>
        <v/>
      </c>
      <c r="AL82" s="18">
        <f>AB82-AB83</f>
        <v/>
      </c>
    </row>
    <row r="83">
      <c r="A83" s="16" t="n">
        <v>46184</v>
      </c>
      <c r="B83" s="17" t="n">
        <v>4.05</v>
      </c>
      <c r="C83" s="18">
        <f>(B83-B84)*100</f>
        <v/>
      </c>
      <c r="D83" s="17" t="n">
        <v>4.09</v>
      </c>
      <c r="E83" s="18">
        <f>(D83-D84)*100</f>
        <v/>
      </c>
      <c r="F83" s="17" t="n">
        <v>4.18</v>
      </c>
      <c r="G83" s="18">
        <f>(F83-F84)*100</f>
        <v/>
      </c>
      <c r="H83" s="17" t="n">
        <v>4.45</v>
      </c>
      <c r="I83" s="18">
        <f>(H83-H84)*100</f>
        <v/>
      </c>
      <c r="J83" s="17" t="n">
        <v>4.95</v>
      </c>
      <c r="K83" s="18">
        <f>(J83-J84)*100</f>
        <v/>
      </c>
      <c r="L83" s="18">
        <f>(F83-B83)*100</f>
        <v/>
      </c>
      <c r="M83" s="20">
        <f>(L83-$D$9)/$E$9</f>
        <v/>
      </c>
      <c r="N83" s="18">
        <f>(F83-D83)*100</f>
        <v/>
      </c>
      <c r="O83" s="20">
        <f>(N83-$D$10)/$E$10</f>
        <v/>
      </c>
      <c r="P83" s="18">
        <f>(H83-F83)*100</f>
        <v/>
      </c>
      <c r="Q83" s="20">
        <f>(P83-$D$11)/$E$11</f>
        <v/>
      </c>
      <c r="R83" s="18">
        <f>(J83-F83)*100</f>
        <v/>
      </c>
      <c r="S83" s="20">
        <f>(R83-$D$12)/$E$12</f>
        <v/>
      </c>
      <c r="T83" s="18">
        <f>(H83-B83)*100</f>
        <v/>
      </c>
      <c r="U83" s="20">
        <f>(T83-$D$13)/$E$13</f>
        <v/>
      </c>
      <c r="V83" s="18">
        <f>(H83-D83)*100</f>
        <v/>
      </c>
      <c r="W83" s="20">
        <f>(V83-$D$14)/$E$14</f>
        <v/>
      </c>
      <c r="X83" s="18">
        <f>(J83-H83)*100</f>
        <v/>
      </c>
      <c r="Y83" s="20">
        <f>(X83-$D$15)/$E$15</f>
        <v/>
      </c>
      <c r="Z83" s="18">
        <f>(J83-B83)*100</f>
        <v/>
      </c>
      <c r="AA83" s="20">
        <f>(Z83-$D$16)/$E$16</f>
        <v/>
      </c>
      <c r="AB83" s="18">
        <f>(2*F83-B83-H83)*100</f>
        <v/>
      </c>
      <c r="AC83" s="20">
        <f>(AB83-$D$17)/$E$17</f>
        <v/>
      </c>
      <c r="AD83" s="18">
        <f>L83-L84</f>
        <v/>
      </c>
      <c r="AE83" s="18">
        <f>N83-N84</f>
        <v/>
      </c>
      <c r="AF83" s="18">
        <f>P83-P84</f>
        <v/>
      </c>
      <c r="AG83" s="18">
        <f>R83-R84</f>
        <v/>
      </c>
      <c r="AH83" s="18">
        <f>T83-T84</f>
        <v/>
      </c>
      <c r="AI83" s="18">
        <f>V83-V84</f>
        <v/>
      </c>
      <c r="AJ83" s="18">
        <f>X83-X84</f>
        <v/>
      </c>
      <c r="AK83" s="18">
        <f>Z83-Z84</f>
        <v/>
      </c>
      <c r="AL83" s="18">
        <f>AB83-AB84</f>
        <v/>
      </c>
    </row>
    <row r="84">
      <c r="A84" s="16" t="n">
        <v>46183</v>
      </c>
      <c r="B84" s="17" t="n">
        <v>4.13</v>
      </c>
      <c r="C84" s="18">
        <f>(B84-B85)*100</f>
        <v/>
      </c>
      <c r="D84" s="17" t="n">
        <v>4.17</v>
      </c>
      <c r="E84" s="18">
        <f>(D84-D85)*100</f>
        <v/>
      </c>
      <c r="F84" s="17" t="n">
        <v>4.27</v>
      </c>
      <c r="G84" s="18">
        <f>(F84-F85)*100</f>
        <v/>
      </c>
      <c r="H84" s="17" t="n">
        <v>4.55</v>
      </c>
      <c r="I84" s="18">
        <f>(H84-H85)*100</f>
        <v/>
      </c>
      <c r="J84" s="17" t="n">
        <v>5.03</v>
      </c>
      <c r="K84" s="18">
        <f>(J84-J85)*100</f>
        <v/>
      </c>
      <c r="L84" s="18">
        <f>(F84-B84)*100</f>
        <v/>
      </c>
      <c r="M84" s="20">
        <f>(L84-$D$9)/$E$9</f>
        <v/>
      </c>
      <c r="N84" s="18">
        <f>(F84-D84)*100</f>
        <v/>
      </c>
      <c r="O84" s="20">
        <f>(N84-$D$10)/$E$10</f>
        <v/>
      </c>
      <c r="P84" s="18">
        <f>(H84-F84)*100</f>
        <v/>
      </c>
      <c r="Q84" s="20">
        <f>(P84-$D$11)/$E$11</f>
        <v/>
      </c>
      <c r="R84" s="18">
        <f>(J84-F84)*100</f>
        <v/>
      </c>
      <c r="S84" s="20">
        <f>(R84-$D$12)/$E$12</f>
        <v/>
      </c>
      <c r="T84" s="18">
        <f>(H84-B84)*100</f>
        <v/>
      </c>
      <c r="U84" s="20">
        <f>(T84-$D$13)/$E$13</f>
        <v/>
      </c>
      <c r="V84" s="18">
        <f>(H84-D84)*100</f>
        <v/>
      </c>
      <c r="W84" s="20">
        <f>(V84-$D$14)/$E$14</f>
        <v/>
      </c>
      <c r="X84" s="18">
        <f>(J84-H84)*100</f>
        <v/>
      </c>
      <c r="Y84" s="20">
        <f>(X84-$D$15)/$E$15</f>
        <v/>
      </c>
      <c r="Z84" s="18">
        <f>(J84-B84)*100</f>
        <v/>
      </c>
      <c r="AA84" s="20">
        <f>(Z84-$D$16)/$E$16</f>
        <v/>
      </c>
      <c r="AB84" s="18">
        <f>(2*F84-B84-H84)*100</f>
        <v/>
      </c>
      <c r="AC84" s="20">
        <f>(AB84-$D$17)/$E$17</f>
        <v/>
      </c>
      <c r="AD84" s="18">
        <f>L84-L85</f>
        <v/>
      </c>
      <c r="AE84" s="18">
        <f>N84-N85</f>
        <v/>
      </c>
      <c r="AF84" s="18">
        <f>P84-P85</f>
        <v/>
      </c>
      <c r="AG84" s="18">
        <f>R84-R85</f>
        <v/>
      </c>
      <c r="AH84" s="18">
        <f>T84-T85</f>
        <v/>
      </c>
      <c r="AI84" s="18">
        <f>V84-V85</f>
        <v/>
      </c>
      <c r="AJ84" s="18">
        <f>X84-X85</f>
        <v/>
      </c>
      <c r="AK84" s="18">
        <f>Z84-Z85</f>
        <v/>
      </c>
      <c r="AL84" s="18">
        <f>AB84-AB85</f>
        <v/>
      </c>
    </row>
    <row r="85">
      <c r="A85" s="16" t="n">
        <v>46182</v>
      </c>
      <c r="B85" s="17" t="n">
        <v>4.13</v>
      </c>
      <c r="C85" s="18">
        <f>(B85-B86)*100</f>
        <v/>
      </c>
      <c r="D85" s="17" t="n">
        <v>4.16</v>
      </c>
      <c r="E85" s="18">
        <f>(D85-D86)*100</f>
        <v/>
      </c>
      <c r="F85" s="17" t="n">
        <v>4.26</v>
      </c>
      <c r="G85" s="18">
        <f>(F85-F86)*100</f>
        <v/>
      </c>
      <c r="H85" s="17" t="n">
        <v>4.53</v>
      </c>
      <c r="I85" s="18">
        <f>(H85-H86)*100</f>
        <v/>
      </c>
      <c r="J85" s="17" t="n">
        <v>5.01</v>
      </c>
      <c r="K85" s="18">
        <f>(J85-J86)*100</f>
        <v/>
      </c>
      <c r="L85" s="18">
        <f>(F85-B85)*100</f>
        <v/>
      </c>
      <c r="M85" s="20">
        <f>(L85-$D$9)/$E$9</f>
        <v/>
      </c>
      <c r="N85" s="18">
        <f>(F85-D85)*100</f>
        <v/>
      </c>
      <c r="O85" s="20">
        <f>(N85-$D$10)/$E$10</f>
        <v/>
      </c>
      <c r="P85" s="18">
        <f>(H85-F85)*100</f>
        <v/>
      </c>
      <c r="Q85" s="20">
        <f>(P85-$D$11)/$E$11</f>
        <v/>
      </c>
      <c r="R85" s="18">
        <f>(J85-F85)*100</f>
        <v/>
      </c>
      <c r="S85" s="20">
        <f>(R85-$D$12)/$E$12</f>
        <v/>
      </c>
      <c r="T85" s="18">
        <f>(H85-B85)*100</f>
        <v/>
      </c>
      <c r="U85" s="20">
        <f>(T85-$D$13)/$E$13</f>
        <v/>
      </c>
      <c r="V85" s="18">
        <f>(H85-D85)*100</f>
        <v/>
      </c>
      <c r="W85" s="20">
        <f>(V85-$D$14)/$E$14</f>
        <v/>
      </c>
      <c r="X85" s="18">
        <f>(J85-H85)*100</f>
        <v/>
      </c>
      <c r="Y85" s="20">
        <f>(X85-$D$15)/$E$15</f>
        <v/>
      </c>
      <c r="Z85" s="18">
        <f>(J85-B85)*100</f>
        <v/>
      </c>
      <c r="AA85" s="20">
        <f>(Z85-$D$16)/$E$16</f>
        <v/>
      </c>
      <c r="AB85" s="18">
        <f>(2*F85-B85-H85)*100</f>
        <v/>
      </c>
      <c r="AC85" s="20">
        <f>(AB85-$D$17)/$E$17</f>
        <v/>
      </c>
      <c r="AD85" s="18">
        <f>L85-L86</f>
        <v/>
      </c>
      <c r="AE85" s="18">
        <f>N85-N86</f>
        <v/>
      </c>
      <c r="AF85" s="18">
        <f>P85-P86</f>
        <v/>
      </c>
      <c r="AG85" s="18">
        <f>R85-R86</f>
        <v/>
      </c>
      <c r="AH85" s="18">
        <f>T85-T86</f>
        <v/>
      </c>
      <c r="AI85" s="18">
        <f>V85-V86</f>
        <v/>
      </c>
      <c r="AJ85" s="18">
        <f>X85-X86</f>
        <v/>
      </c>
      <c r="AK85" s="18">
        <f>Z85-Z86</f>
        <v/>
      </c>
      <c r="AL85" s="18">
        <f>AB85-AB86</f>
        <v/>
      </c>
    </row>
    <row r="86">
      <c r="A86" s="16" t="n">
        <v>46181</v>
      </c>
      <c r="B86" s="17" t="n">
        <v>4.15</v>
      </c>
      <c r="C86" s="18">
        <f>(B86-B87)*100</f>
        <v/>
      </c>
      <c r="D86" s="17" t="n">
        <v>4.21</v>
      </c>
      <c r="E86" s="18">
        <f>(D86-D87)*100</f>
        <v/>
      </c>
      <c r="F86" s="17" t="n">
        <v>4.29</v>
      </c>
      <c r="G86" s="18">
        <f>(F86-F87)*100</f>
        <v/>
      </c>
      <c r="H86" s="17" t="n">
        <v>4.56</v>
      </c>
      <c r="I86" s="18">
        <f>(H86-H87)*100</f>
        <v/>
      </c>
      <c r="J86" s="17" t="n">
        <v>5.03</v>
      </c>
      <c r="K86" s="18">
        <f>(J86-J87)*100</f>
        <v/>
      </c>
      <c r="L86" s="18">
        <f>(F86-B86)*100</f>
        <v/>
      </c>
      <c r="M86" s="20">
        <f>(L86-$D$9)/$E$9</f>
        <v/>
      </c>
      <c r="N86" s="18">
        <f>(F86-D86)*100</f>
        <v/>
      </c>
      <c r="O86" s="20">
        <f>(N86-$D$10)/$E$10</f>
        <v/>
      </c>
      <c r="P86" s="18">
        <f>(H86-F86)*100</f>
        <v/>
      </c>
      <c r="Q86" s="20">
        <f>(P86-$D$11)/$E$11</f>
        <v/>
      </c>
      <c r="R86" s="18">
        <f>(J86-F86)*100</f>
        <v/>
      </c>
      <c r="S86" s="20">
        <f>(R86-$D$12)/$E$12</f>
        <v/>
      </c>
      <c r="T86" s="18">
        <f>(H86-B86)*100</f>
        <v/>
      </c>
      <c r="U86" s="20">
        <f>(T86-$D$13)/$E$13</f>
        <v/>
      </c>
      <c r="V86" s="18">
        <f>(H86-D86)*100</f>
        <v/>
      </c>
      <c r="W86" s="20">
        <f>(V86-$D$14)/$E$14</f>
        <v/>
      </c>
      <c r="X86" s="18">
        <f>(J86-H86)*100</f>
        <v/>
      </c>
      <c r="Y86" s="20">
        <f>(X86-$D$15)/$E$15</f>
        <v/>
      </c>
      <c r="Z86" s="18">
        <f>(J86-B86)*100</f>
        <v/>
      </c>
      <c r="AA86" s="20">
        <f>(Z86-$D$16)/$E$16</f>
        <v/>
      </c>
      <c r="AB86" s="18">
        <f>(2*F86-B86-H86)*100</f>
        <v/>
      </c>
      <c r="AC86" s="20">
        <f>(AB86-$D$17)/$E$17</f>
        <v/>
      </c>
      <c r="AD86" s="18">
        <f>L86-L87</f>
        <v/>
      </c>
      <c r="AE86" s="18">
        <f>N86-N87</f>
        <v/>
      </c>
      <c r="AF86" s="18">
        <f>P86-P87</f>
        <v/>
      </c>
      <c r="AG86" s="18">
        <f>R86-R87</f>
        <v/>
      </c>
      <c r="AH86" s="18">
        <f>T86-T87</f>
        <v/>
      </c>
      <c r="AI86" s="18">
        <f>V86-V87</f>
        <v/>
      </c>
      <c r="AJ86" s="18">
        <f>X86-X87</f>
        <v/>
      </c>
      <c r="AK86" s="18">
        <f>Z86-Z87</f>
        <v/>
      </c>
      <c r="AL86" s="18">
        <f>AB86-AB87</f>
        <v/>
      </c>
    </row>
    <row r="87">
      <c r="A87" s="16" t="n">
        <v>46178</v>
      </c>
      <c r="B87" s="17" t="n">
        <v>4.17</v>
      </c>
      <c r="C87" s="18">
        <f>(B87-B88)*100</f>
        <v/>
      </c>
      <c r="D87" s="17" t="n">
        <v>4.22</v>
      </c>
      <c r="E87" s="18">
        <f>(D87-D88)*100</f>
        <v/>
      </c>
      <c r="F87" s="17" t="n">
        <v>4.29</v>
      </c>
      <c r="G87" s="18">
        <f>(F87-F88)*100</f>
        <v/>
      </c>
      <c r="H87" s="17" t="n">
        <v>4.55</v>
      </c>
      <c r="I87" s="18">
        <f>(H87-H88)*100</f>
        <v/>
      </c>
      <c r="J87" s="17" t="n">
        <v>5.01</v>
      </c>
      <c r="K87" s="18">
        <f>(J87-J88)*100</f>
        <v/>
      </c>
      <c r="L87" s="18">
        <f>(F87-B87)*100</f>
        <v/>
      </c>
      <c r="M87" s="20">
        <f>(L87-$D$9)/$E$9</f>
        <v/>
      </c>
      <c r="N87" s="18">
        <f>(F87-D87)*100</f>
        <v/>
      </c>
      <c r="O87" s="20">
        <f>(N87-$D$10)/$E$10</f>
        <v/>
      </c>
      <c r="P87" s="18">
        <f>(H87-F87)*100</f>
        <v/>
      </c>
      <c r="Q87" s="20">
        <f>(P87-$D$11)/$E$11</f>
        <v/>
      </c>
      <c r="R87" s="18">
        <f>(J87-F87)*100</f>
        <v/>
      </c>
      <c r="S87" s="20">
        <f>(R87-$D$12)/$E$12</f>
        <v/>
      </c>
      <c r="T87" s="18">
        <f>(H87-B87)*100</f>
        <v/>
      </c>
      <c r="U87" s="20">
        <f>(T87-$D$13)/$E$13</f>
        <v/>
      </c>
      <c r="V87" s="18">
        <f>(H87-D87)*100</f>
        <v/>
      </c>
      <c r="W87" s="20">
        <f>(V87-$D$14)/$E$14</f>
        <v/>
      </c>
      <c r="X87" s="18">
        <f>(J87-H87)*100</f>
        <v/>
      </c>
      <c r="Y87" s="20">
        <f>(X87-$D$15)/$E$15</f>
        <v/>
      </c>
      <c r="Z87" s="18">
        <f>(J87-B87)*100</f>
        <v/>
      </c>
      <c r="AA87" s="20">
        <f>(Z87-$D$16)/$E$16</f>
        <v/>
      </c>
      <c r="AB87" s="18">
        <f>(2*F87-B87-H87)*100</f>
        <v/>
      </c>
      <c r="AC87" s="20">
        <f>(AB87-$D$17)/$E$17</f>
        <v/>
      </c>
      <c r="AD87" s="18">
        <f>L87-L88</f>
        <v/>
      </c>
      <c r="AE87" s="18">
        <f>N87-N88</f>
        <v/>
      </c>
      <c r="AF87" s="18">
        <f>P87-P88</f>
        <v/>
      </c>
      <c r="AG87" s="18">
        <f>R87-R88</f>
        <v/>
      </c>
      <c r="AH87" s="18">
        <f>T87-T88</f>
        <v/>
      </c>
      <c r="AI87" s="18">
        <f>V87-V88</f>
        <v/>
      </c>
      <c r="AJ87" s="18">
        <f>X87-X88</f>
        <v/>
      </c>
      <c r="AK87" s="18">
        <f>Z87-Z88</f>
        <v/>
      </c>
      <c r="AL87" s="18">
        <f>AB87-AB88</f>
        <v/>
      </c>
    </row>
    <row r="88">
      <c r="A88" s="16" t="n">
        <v>46177</v>
      </c>
      <c r="B88" s="17" t="n">
        <v>4.05</v>
      </c>
      <c r="C88" s="18">
        <f>(B88-B89)*100</f>
        <v/>
      </c>
      <c r="D88" s="17" t="n">
        <v>4.1</v>
      </c>
      <c r="E88" s="18">
        <f>(D88-D89)*100</f>
        <v/>
      </c>
      <c r="F88" s="17" t="n">
        <v>4.18</v>
      </c>
      <c r="G88" s="18">
        <f>(F88-F89)*100</f>
        <v/>
      </c>
      <c r="H88" s="17" t="n">
        <v>4.47</v>
      </c>
      <c r="I88" s="18">
        <f>(H88-H89)*100</f>
        <v/>
      </c>
      <c r="J88" s="17" t="n">
        <v>4.97</v>
      </c>
      <c r="K88" s="18">
        <f>(J88-J89)*100</f>
        <v/>
      </c>
      <c r="L88" s="18">
        <f>(F88-B88)*100</f>
        <v/>
      </c>
      <c r="M88" s="20">
        <f>(L88-$D$9)/$E$9</f>
        <v/>
      </c>
      <c r="N88" s="18">
        <f>(F88-D88)*100</f>
        <v/>
      </c>
      <c r="O88" s="20">
        <f>(N88-$D$10)/$E$10</f>
        <v/>
      </c>
      <c r="P88" s="18">
        <f>(H88-F88)*100</f>
        <v/>
      </c>
      <c r="Q88" s="20">
        <f>(P88-$D$11)/$E$11</f>
        <v/>
      </c>
      <c r="R88" s="18">
        <f>(J88-F88)*100</f>
        <v/>
      </c>
      <c r="S88" s="20">
        <f>(R88-$D$12)/$E$12</f>
        <v/>
      </c>
      <c r="T88" s="18">
        <f>(H88-B88)*100</f>
        <v/>
      </c>
      <c r="U88" s="20">
        <f>(T88-$D$13)/$E$13</f>
        <v/>
      </c>
      <c r="V88" s="18">
        <f>(H88-D88)*100</f>
        <v/>
      </c>
      <c r="W88" s="20">
        <f>(V88-$D$14)/$E$14</f>
        <v/>
      </c>
      <c r="X88" s="18">
        <f>(J88-H88)*100</f>
        <v/>
      </c>
      <c r="Y88" s="20">
        <f>(X88-$D$15)/$E$15</f>
        <v/>
      </c>
      <c r="Z88" s="18">
        <f>(J88-B88)*100</f>
        <v/>
      </c>
      <c r="AA88" s="20">
        <f>(Z88-$D$16)/$E$16</f>
        <v/>
      </c>
      <c r="AB88" s="18">
        <f>(2*F88-B88-H88)*100</f>
        <v/>
      </c>
      <c r="AC88" s="20">
        <f>(AB88-$D$17)/$E$17</f>
        <v/>
      </c>
      <c r="AD88" s="18">
        <f>L88-L89</f>
        <v/>
      </c>
      <c r="AE88" s="18">
        <f>N88-N89</f>
        <v/>
      </c>
      <c r="AF88" s="18">
        <f>P88-P89</f>
        <v/>
      </c>
      <c r="AG88" s="18">
        <f>R88-R89</f>
        <v/>
      </c>
      <c r="AH88" s="18">
        <f>T88-T89</f>
        <v/>
      </c>
      <c r="AI88" s="18">
        <f>V88-V89</f>
        <v/>
      </c>
      <c r="AJ88" s="18">
        <f>X88-X89</f>
        <v/>
      </c>
      <c r="AK88" s="18">
        <f>Z88-Z89</f>
        <v/>
      </c>
      <c r="AL88" s="18">
        <f>AB88-AB89</f>
        <v/>
      </c>
    </row>
    <row r="89">
      <c r="A89" s="16" t="n">
        <v>46176</v>
      </c>
      <c r="B89" s="17" t="n">
        <v>4.08</v>
      </c>
      <c r="C89" s="18">
        <f>(B89-B90)*100</f>
        <v/>
      </c>
      <c r="D89" s="17" t="n">
        <v>4.14</v>
      </c>
      <c r="E89" s="18">
        <f>(D89-D90)*100</f>
        <v/>
      </c>
      <c r="F89" s="17" t="n">
        <v>4.21</v>
      </c>
      <c r="G89" s="18">
        <f>(F89-F90)*100</f>
        <v/>
      </c>
      <c r="H89" s="17" t="n">
        <v>4.49</v>
      </c>
      <c r="I89" s="18">
        <f>(H89-H90)*100</f>
        <v/>
      </c>
      <c r="J89" s="17" t="n">
        <v>4.99</v>
      </c>
      <c r="K89" s="18">
        <f>(J89-J90)*100</f>
        <v/>
      </c>
      <c r="L89" s="18">
        <f>(F89-B89)*100</f>
        <v/>
      </c>
      <c r="M89" s="20">
        <f>(L89-$D$9)/$E$9</f>
        <v/>
      </c>
      <c r="N89" s="18">
        <f>(F89-D89)*100</f>
        <v/>
      </c>
      <c r="O89" s="20">
        <f>(N89-$D$10)/$E$10</f>
        <v/>
      </c>
      <c r="P89" s="18">
        <f>(H89-F89)*100</f>
        <v/>
      </c>
      <c r="Q89" s="20">
        <f>(P89-$D$11)/$E$11</f>
        <v/>
      </c>
      <c r="R89" s="18">
        <f>(J89-F89)*100</f>
        <v/>
      </c>
      <c r="S89" s="20">
        <f>(R89-$D$12)/$E$12</f>
        <v/>
      </c>
      <c r="T89" s="18">
        <f>(H89-B89)*100</f>
        <v/>
      </c>
      <c r="U89" s="20">
        <f>(T89-$D$13)/$E$13</f>
        <v/>
      </c>
      <c r="V89" s="18">
        <f>(H89-D89)*100</f>
        <v/>
      </c>
      <c r="W89" s="20">
        <f>(V89-$D$14)/$E$14</f>
        <v/>
      </c>
      <c r="X89" s="18">
        <f>(J89-H89)*100</f>
        <v/>
      </c>
      <c r="Y89" s="20">
        <f>(X89-$D$15)/$E$15</f>
        <v/>
      </c>
      <c r="Z89" s="18">
        <f>(J89-B89)*100</f>
        <v/>
      </c>
      <c r="AA89" s="20">
        <f>(Z89-$D$16)/$E$16</f>
        <v/>
      </c>
      <c r="AB89" s="18">
        <f>(2*F89-B89-H89)*100</f>
        <v/>
      </c>
      <c r="AC89" s="20">
        <f>(AB89-$D$17)/$E$17</f>
        <v/>
      </c>
      <c r="AD89" s="18">
        <f>L89-L90</f>
        <v/>
      </c>
      <c r="AE89" s="18">
        <f>N89-N90</f>
        <v/>
      </c>
      <c r="AF89" s="18">
        <f>P89-P90</f>
        <v/>
      </c>
      <c r="AG89" s="18">
        <f>R89-R90</f>
        <v/>
      </c>
      <c r="AH89" s="18">
        <f>T89-T90</f>
        <v/>
      </c>
      <c r="AI89" s="18">
        <f>V89-V90</f>
        <v/>
      </c>
      <c r="AJ89" s="18">
        <f>X89-X90</f>
        <v/>
      </c>
      <c r="AK89" s="18">
        <f>Z89-Z90</f>
        <v/>
      </c>
      <c r="AL89" s="18">
        <f>AB89-AB90</f>
        <v/>
      </c>
    </row>
    <row r="90">
      <c r="A90" s="16" t="n">
        <v>46175</v>
      </c>
      <c r="B90" s="17" t="n">
        <v>4.05</v>
      </c>
      <c r="C90" s="18">
        <f>(B90-B91)*100</f>
        <v/>
      </c>
      <c r="D90" s="17" t="n">
        <v>4.09</v>
      </c>
      <c r="E90" s="18">
        <f>(D90-D91)*100</f>
        <v/>
      </c>
      <c r="F90" s="17" t="n">
        <v>4.17</v>
      </c>
      <c r="G90" s="18">
        <f>(F90-F91)*100</f>
        <v/>
      </c>
      <c r="H90" s="17" t="n">
        <v>4.46</v>
      </c>
      <c r="I90" s="18">
        <f>(H90-H91)*100</f>
        <v/>
      </c>
      <c r="J90" s="17" t="n">
        <v>4.97</v>
      </c>
      <c r="K90" s="18">
        <f>(J90-J91)*100</f>
        <v/>
      </c>
      <c r="L90" s="18">
        <f>(F90-B90)*100</f>
        <v/>
      </c>
      <c r="M90" s="20">
        <f>(L90-$D$9)/$E$9</f>
        <v/>
      </c>
      <c r="N90" s="18">
        <f>(F90-D90)*100</f>
        <v/>
      </c>
      <c r="O90" s="20">
        <f>(N90-$D$10)/$E$10</f>
        <v/>
      </c>
      <c r="P90" s="18">
        <f>(H90-F90)*100</f>
        <v/>
      </c>
      <c r="Q90" s="20">
        <f>(P90-$D$11)/$E$11</f>
        <v/>
      </c>
      <c r="R90" s="18">
        <f>(J90-F90)*100</f>
        <v/>
      </c>
      <c r="S90" s="20">
        <f>(R90-$D$12)/$E$12</f>
        <v/>
      </c>
      <c r="T90" s="18">
        <f>(H90-B90)*100</f>
        <v/>
      </c>
      <c r="U90" s="20">
        <f>(T90-$D$13)/$E$13</f>
        <v/>
      </c>
      <c r="V90" s="18">
        <f>(H90-D90)*100</f>
        <v/>
      </c>
      <c r="W90" s="20">
        <f>(V90-$D$14)/$E$14</f>
        <v/>
      </c>
      <c r="X90" s="18">
        <f>(J90-H90)*100</f>
        <v/>
      </c>
      <c r="Y90" s="20">
        <f>(X90-$D$15)/$E$15</f>
        <v/>
      </c>
      <c r="Z90" s="18">
        <f>(J90-B90)*100</f>
        <v/>
      </c>
      <c r="AA90" s="20">
        <f>(Z90-$D$16)/$E$16</f>
        <v/>
      </c>
      <c r="AB90" s="18">
        <f>(2*F90-B90-H90)*100</f>
        <v/>
      </c>
      <c r="AC90" s="20">
        <f>(AB90-$D$17)/$E$17</f>
        <v/>
      </c>
      <c r="AD90" s="18">
        <f>L90-L91</f>
        <v/>
      </c>
      <c r="AE90" s="18">
        <f>N90-N91</f>
        <v/>
      </c>
      <c r="AF90" s="18">
        <f>P90-P91</f>
        <v/>
      </c>
      <c r="AG90" s="18">
        <f>R90-R91</f>
        <v/>
      </c>
      <c r="AH90" s="18">
        <f>T90-T91</f>
        <v/>
      </c>
      <c r="AI90" s="18">
        <f>V90-V91</f>
        <v/>
      </c>
      <c r="AJ90" s="18">
        <f>X90-X91</f>
        <v/>
      </c>
      <c r="AK90" s="18">
        <f>Z90-Z91</f>
        <v/>
      </c>
      <c r="AL90" s="18">
        <f>AB90-AB91</f>
        <v/>
      </c>
    </row>
    <row r="91">
      <c r="A91" s="16" t="n">
        <v>46174</v>
      </c>
      <c r="B91" s="17" t="n">
        <v>4.05</v>
      </c>
      <c r="C91" s="18">
        <f>(B91-B92)*100</f>
        <v/>
      </c>
      <c r="D91" s="17" t="n">
        <v>4.09</v>
      </c>
      <c r="E91" s="18">
        <f>(D91-D92)*100</f>
        <v/>
      </c>
      <c r="F91" s="17" t="n">
        <v>4.18</v>
      </c>
      <c r="G91" s="18">
        <f>(F91-F92)*100</f>
        <v/>
      </c>
      <c r="H91" s="17" t="n">
        <v>4.47</v>
      </c>
      <c r="I91" s="18">
        <f>(H91-H92)*100</f>
        <v/>
      </c>
      <c r="J91" s="17" t="n">
        <v>4.99</v>
      </c>
      <c r="K91" s="18">
        <f>(J91-J92)*100</f>
        <v/>
      </c>
      <c r="L91" s="18">
        <f>(F91-B91)*100</f>
        <v/>
      </c>
      <c r="M91" s="20">
        <f>(L91-$D$9)/$E$9</f>
        <v/>
      </c>
      <c r="N91" s="18">
        <f>(F91-D91)*100</f>
        <v/>
      </c>
      <c r="O91" s="20">
        <f>(N91-$D$10)/$E$10</f>
        <v/>
      </c>
      <c r="P91" s="18">
        <f>(H91-F91)*100</f>
        <v/>
      </c>
      <c r="Q91" s="20">
        <f>(P91-$D$11)/$E$11</f>
        <v/>
      </c>
      <c r="R91" s="18">
        <f>(J91-F91)*100</f>
        <v/>
      </c>
      <c r="S91" s="20">
        <f>(R91-$D$12)/$E$12</f>
        <v/>
      </c>
      <c r="T91" s="18">
        <f>(H91-B91)*100</f>
        <v/>
      </c>
      <c r="U91" s="20">
        <f>(T91-$D$13)/$E$13</f>
        <v/>
      </c>
      <c r="V91" s="18">
        <f>(H91-D91)*100</f>
        <v/>
      </c>
      <c r="W91" s="20">
        <f>(V91-$D$14)/$E$14</f>
        <v/>
      </c>
      <c r="X91" s="18">
        <f>(J91-H91)*100</f>
        <v/>
      </c>
      <c r="Y91" s="20">
        <f>(X91-$D$15)/$E$15</f>
        <v/>
      </c>
      <c r="Z91" s="18">
        <f>(J91-B91)*100</f>
        <v/>
      </c>
      <c r="AA91" s="20">
        <f>(Z91-$D$16)/$E$16</f>
        <v/>
      </c>
      <c r="AB91" s="18">
        <f>(2*F91-B91-H91)*100</f>
        <v/>
      </c>
      <c r="AC91" s="20">
        <f>(AB91-$D$17)/$E$17</f>
        <v/>
      </c>
      <c r="AD91" s="18">
        <f>L91-L92</f>
        <v/>
      </c>
      <c r="AE91" s="18">
        <f>N91-N92</f>
        <v/>
      </c>
      <c r="AF91" s="18">
        <f>P91-P92</f>
        <v/>
      </c>
      <c r="AG91" s="18">
        <f>R91-R92</f>
        <v/>
      </c>
      <c r="AH91" s="18">
        <f>T91-T92</f>
        <v/>
      </c>
      <c r="AI91" s="18">
        <f>V91-V92</f>
        <v/>
      </c>
      <c r="AJ91" s="18">
        <f>X91-X92</f>
        <v/>
      </c>
      <c r="AK91" s="18">
        <f>Z91-Z92</f>
        <v/>
      </c>
      <c r="AL91" s="18">
        <f>AB91-AB92</f>
        <v/>
      </c>
    </row>
    <row r="92">
      <c r="A92" s="16" t="n">
        <v>46171</v>
      </c>
      <c r="B92" s="17" t="n">
        <v>3.98</v>
      </c>
      <c r="C92" s="18">
        <f>(B92-B93)*100</f>
        <v/>
      </c>
      <c r="D92" s="17" t="n">
        <v>4.06</v>
      </c>
      <c r="E92" s="18">
        <f>(D92-D93)*100</f>
        <v/>
      </c>
      <c r="F92" s="17" t="n">
        <v>4.13</v>
      </c>
      <c r="G92" s="18">
        <f>(F92-F93)*100</f>
        <v/>
      </c>
      <c r="H92" s="17" t="n">
        <v>4.45</v>
      </c>
      <c r="I92" s="18">
        <f>(H92-H93)*100</f>
        <v/>
      </c>
      <c r="J92" s="17" t="n">
        <v>4.99</v>
      </c>
      <c r="K92" s="18">
        <f>(J92-J93)*100</f>
        <v/>
      </c>
      <c r="L92" s="18">
        <f>(F92-B92)*100</f>
        <v/>
      </c>
      <c r="M92" s="20">
        <f>(L92-$D$9)/$E$9</f>
        <v/>
      </c>
      <c r="N92" s="18">
        <f>(F92-D92)*100</f>
        <v/>
      </c>
      <c r="O92" s="20">
        <f>(N92-$D$10)/$E$10</f>
        <v/>
      </c>
      <c r="P92" s="18">
        <f>(H92-F92)*100</f>
        <v/>
      </c>
      <c r="Q92" s="20">
        <f>(P92-$D$11)/$E$11</f>
        <v/>
      </c>
      <c r="R92" s="18">
        <f>(J92-F92)*100</f>
        <v/>
      </c>
      <c r="S92" s="20">
        <f>(R92-$D$12)/$E$12</f>
        <v/>
      </c>
      <c r="T92" s="18">
        <f>(H92-B92)*100</f>
        <v/>
      </c>
      <c r="U92" s="20">
        <f>(T92-$D$13)/$E$13</f>
        <v/>
      </c>
      <c r="V92" s="18">
        <f>(H92-D92)*100</f>
        <v/>
      </c>
      <c r="W92" s="20">
        <f>(V92-$D$14)/$E$14</f>
        <v/>
      </c>
      <c r="X92" s="18">
        <f>(J92-H92)*100</f>
        <v/>
      </c>
      <c r="Y92" s="20">
        <f>(X92-$D$15)/$E$15</f>
        <v/>
      </c>
      <c r="Z92" s="18">
        <f>(J92-B92)*100</f>
        <v/>
      </c>
      <c r="AA92" s="20">
        <f>(Z92-$D$16)/$E$16</f>
        <v/>
      </c>
      <c r="AB92" s="18">
        <f>(2*F92-B92-H92)*100</f>
        <v/>
      </c>
      <c r="AC92" s="20">
        <f>(AB92-$D$17)/$E$17</f>
        <v/>
      </c>
      <c r="AD92" s="18">
        <f>L92-L93</f>
        <v/>
      </c>
      <c r="AE92" s="18">
        <f>N92-N93</f>
        <v/>
      </c>
      <c r="AF92" s="18">
        <f>P92-P93</f>
        <v/>
      </c>
      <c r="AG92" s="18">
        <f>R92-R93</f>
        <v/>
      </c>
      <c r="AH92" s="18">
        <f>T92-T93</f>
        <v/>
      </c>
      <c r="AI92" s="18">
        <f>V92-V93</f>
        <v/>
      </c>
      <c r="AJ92" s="18">
        <f>X92-X93</f>
        <v/>
      </c>
      <c r="AK92" s="18">
        <f>Z92-Z93</f>
        <v/>
      </c>
      <c r="AL92" s="18">
        <f>AB92-AB93</f>
        <v/>
      </c>
    </row>
    <row r="93">
      <c r="A93" s="16" t="n">
        <v>46170</v>
      </c>
      <c r="B93" s="17" t="n">
        <v>3.99</v>
      </c>
      <c r="C93" s="18">
        <f>(B93-B94)*100</f>
        <v/>
      </c>
      <c r="D93" s="17" t="n">
        <v>4.07</v>
      </c>
      <c r="E93" s="18">
        <f>(D93-D94)*100</f>
        <v/>
      </c>
      <c r="F93" s="17" t="n">
        <v>4.15</v>
      </c>
      <c r="G93" s="18">
        <f>(F93-F94)*100</f>
        <v/>
      </c>
      <c r="H93" s="17" t="n">
        <v>4.45</v>
      </c>
      <c r="I93" s="18">
        <f>(H93-H94)*100</f>
        <v/>
      </c>
      <c r="J93" s="17" t="n">
        <v>4.98</v>
      </c>
      <c r="K93" s="18">
        <f>(J93-J94)*100</f>
        <v/>
      </c>
      <c r="L93" s="18">
        <f>(F93-B93)*100</f>
        <v/>
      </c>
      <c r="M93" s="20">
        <f>(L93-$D$9)/$E$9</f>
        <v/>
      </c>
      <c r="N93" s="18">
        <f>(F93-D93)*100</f>
        <v/>
      </c>
      <c r="O93" s="20">
        <f>(N93-$D$10)/$E$10</f>
        <v/>
      </c>
      <c r="P93" s="18">
        <f>(H93-F93)*100</f>
        <v/>
      </c>
      <c r="Q93" s="20">
        <f>(P93-$D$11)/$E$11</f>
        <v/>
      </c>
      <c r="R93" s="18">
        <f>(J93-F93)*100</f>
        <v/>
      </c>
      <c r="S93" s="20">
        <f>(R93-$D$12)/$E$12</f>
        <v/>
      </c>
      <c r="T93" s="18">
        <f>(H93-B93)*100</f>
        <v/>
      </c>
      <c r="U93" s="20">
        <f>(T93-$D$13)/$E$13</f>
        <v/>
      </c>
      <c r="V93" s="18">
        <f>(H93-D93)*100</f>
        <v/>
      </c>
      <c r="W93" s="20">
        <f>(V93-$D$14)/$E$14</f>
        <v/>
      </c>
      <c r="X93" s="18">
        <f>(J93-H93)*100</f>
        <v/>
      </c>
      <c r="Y93" s="20">
        <f>(X93-$D$15)/$E$15</f>
        <v/>
      </c>
      <c r="Z93" s="18">
        <f>(J93-B93)*100</f>
        <v/>
      </c>
      <c r="AA93" s="20">
        <f>(Z93-$D$16)/$E$16</f>
        <v/>
      </c>
      <c r="AB93" s="18">
        <f>(2*F93-B93-H93)*100</f>
        <v/>
      </c>
      <c r="AC93" s="20">
        <f>(AB93-$D$17)/$E$17</f>
        <v/>
      </c>
      <c r="AD93" s="18">
        <f>L93-L94</f>
        <v/>
      </c>
      <c r="AE93" s="18">
        <f>N93-N94</f>
        <v/>
      </c>
      <c r="AF93" s="18">
        <f>P93-P94</f>
        <v/>
      </c>
      <c r="AG93" s="18">
        <f>R93-R94</f>
        <v/>
      </c>
      <c r="AH93" s="18">
        <f>T93-T94</f>
        <v/>
      </c>
      <c r="AI93" s="18">
        <f>V93-V94</f>
        <v/>
      </c>
      <c r="AJ93" s="18">
        <f>X93-X94</f>
        <v/>
      </c>
      <c r="AK93" s="18">
        <f>Z93-Z94</f>
        <v/>
      </c>
      <c r="AL93" s="18">
        <f>AB93-AB94</f>
        <v/>
      </c>
    </row>
    <row r="94">
      <c r="A94" s="16" t="n">
        <v>46169</v>
      </c>
      <c r="B94" s="17" t="n">
        <v>4</v>
      </c>
      <c r="C94" s="18">
        <f>(B94-B95)*100</f>
        <v/>
      </c>
      <c r="D94" s="17" t="n">
        <v>4.09</v>
      </c>
      <c r="E94" s="18">
        <f>(D94-D95)*100</f>
        <v/>
      </c>
      <c r="F94" s="17" t="n">
        <v>4.17</v>
      </c>
      <c r="G94" s="18">
        <f>(F94-F95)*100</f>
        <v/>
      </c>
      <c r="H94" s="17" t="n">
        <v>4.48</v>
      </c>
      <c r="I94" s="18">
        <f>(H94-H95)*100</f>
        <v/>
      </c>
      <c r="J94" s="17" t="n">
        <v>5.01</v>
      </c>
      <c r="K94" s="18">
        <f>(J94-J95)*100</f>
        <v/>
      </c>
      <c r="L94" s="18">
        <f>(F94-B94)*100</f>
        <v/>
      </c>
      <c r="M94" s="20">
        <f>(L94-$D$9)/$E$9</f>
        <v/>
      </c>
      <c r="N94" s="18">
        <f>(F94-D94)*100</f>
        <v/>
      </c>
      <c r="O94" s="20">
        <f>(N94-$D$10)/$E$10</f>
        <v/>
      </c>
      <c r="P94" s="18">
        <f>(H94-F94)*100</f>
        <v/>
      </c>
      <c r="Q94" s="20">
        <f>(P94-$D$11)/$E$11</f>
        <v/>
      </c>
      <c r="R94" s="18">
        <f>(J94-F94)*100</f>
        <v/>
      </c>
      <c r="S94" s="20">
        <f>(R94-$D$12)/$E$12</f>
        <v/>
      </c>
      <c r="T94" s="18">
        <f>(H94-B94)*100</f>
        <v/>
      </c>
      <c r="U94" s="20">
        <f>(T94-$D$13)/$E$13</f>
        <v/>
      </c>
      <c r="V94" s="18">
        <f>(H94-D94)*100</f>
        <v/>
      </c>
      <c r="W94" s="20">
        <f>(V94-$D$14)/$E$14</f>
        <v/>
      </c>
      <c r="X94" s="18">
        <f>(J94-H94)*100</f>
        <v/>
      </c>
      <c r="Y94" s="20">
        <f>(X94-$D$15)/$E$15</f>
        <v/>
      </c>
      <c r="Z94" s="18">
        <f>(J94-B94)*100</f>
        <v/>
      </c>
      <c r="AA94" s="20">
        <f>(Z94-$D$16)/$E$16</f>
        <v/>
      </c>
      <c r="AB94" s="18">
        <f>(2*F94-B94-H94)*100</f>
        <v/>
      </c>
      <c r="AC94" s="20">
        <f>(AB94-$D$17)/$E$17</f>
        <v/>
      </c>
      <c r="AD94" s="18">
        <f>L94-L95</f>
        <v/>
      </c>
      <c r="AE94" s="18">
        <f>N94-N95</f>
        <v/>
      </c>
      <c r="AF94" s="18">
        <f>P94-P95</f>
        <v/>
      </c>
      <c r="AG94" s="18">
        <f>R94-R95</f>
        <v/>
      </c>
      <c r="AH94" s="18">
        <f>T94-T95</f>
        <v/>
      </c>
      <c r="AI94" s="18">
        <f>V94-V95</f>
        <v/>
      </c>
      <c r="AJ94" s="18">
        <f>X94-X95</f>
        <v/>
      </c>
      <c r="AK94" s="18">
        <f>Z94-Z95</f>
        <v/>
      </c>
      <c r="AL94" s="18">
        <f>AB94-AB95</f>
        <v/>
      </c>
    </row>
    <row r="95">
      <c r="A95" s="16" t="n">
        <v>46168</v>
      </c>
      <c r="B95" s="17" t="n">
        <v>4.01</v>
      </c>
      <c r="C95" s="18">
        <f>(B95-B96)*100</f>
        <v/>
      </c>
      <c r="D95" s="17" t="n">
        <v>4.1</v>
      </c>
      <c r="E95" s="18">
        <f>(D95-D96)*100</f>
        <v/>
      </c>
      <c r="F95" s="17" t="n">
        <v>4.19</v>
      </c>
      <c r="G95" s="18">
        <f>(F95-F96)*100</f>
        <v/>
      </c>
      <c r="H95" s="17" t="n">
        <v>4.5</v>
      </c>
      <c r="I95" s="18">
        <f>(H95-H96)*100</f>
        <v/>
      </c>
      <c r="J95" s="17" t="n">
        <v>5.03</v>
      </c>
      <c r="K95" s="18">
        <f>(J95-J96)*100</f>
        <v/>
      </c>
      <c r="L95" s="18">
        <f>(F95-B95)*100</f>
        <v/>
      </c>
      <c r="M95" s="20">
        <f>(L95-$D$9)/$E$9</f>
        <v/>
      </c>
      <c r="N95" s="18">
        <f>(F95-D95)*100</f>
        <v/>
      </c>
      <c r="O95" s="20">
        <f>(N95-$D$10)/$E$10</f>
        <v/>
      </c>
      <c r="P95" s="18">
        <f>(H95-F95)*100</f>
        <v/>
      </c>
      <c r="Q95" s="20">
        <f>(P95-$D$11)/$E$11</f>
        <v/>
      </c>
      <c r="R95" s="18">
        <f>(J95-F95)*100</f>
        <v/>
      </c>
      <c r="S95" s="20">
        <f>(R95-$D$12)/$E$12</f>
        <v/>
      </c>
      <c r="T95" s="18">
        <f>(H95-B95)*100</f>
        <v/>
      </c>
      <c r="U95" s="20">
        <f>(T95-$D$13)/$E$13</f>
        <v/>
      </c>
      <c r="V95" s="18">
        <f>(H95-D95)*100</f>
        <v/>
      </c>
      <c r="W95" s="20">
        <f>(V95-$D$14)/$E$14</f>
        <v/>
      </c>
      <c r="X95" s="18">
        <f>(J95-H95)*100</f>
        <v/>
      </c>
      <c r="Y95" s="20">
        <f>(X95-$D$15)/$E$15</f>
        <v/>
      </c>
      <c r="Z95" s="18">
        <f>(J95-B95)*100</f>
        <v/>
      </c>
      <c r="AA95" s="20">
        <f>(Z95-$D$16)/$E$16</f>
        <v/>
      </c>
      <c r="AB95" s="18">
        <f>(2*F95-B95-H95)*100</f>
        <v/>
      </c>
      <c r="AC95" s="20">
        <f>(AB95-$D$17)/$E$17</f>
        <v/>
      </c>
      <c r="AD95" s="18">
        <f>L95-L96</f>
        <v/>
      </c>
      <c r="AE95" s="18">
        <f>N95-N96</f>
        <v/>
      </c>
      <c r="AF95" s="18">
        <f>P95-P96</f>
        <v/>
      </c>
      <c r="AG95" s="18">
        <f>R95-R96</f>
        <v/>
      </c>
      <c r="AH95" s="18">
        <f>T95-T96</f>
        <v/>
      </c>
      <c r="AI95" s="18">
        <f>V95-V96</f>
        <v/>
      </c>
      <c r="AJ95" s="18">
        <f>X95-X96</f>
        <v/>
      </c>
      <c r="AK95" s="18">
        <f>Z95-Z96</f>
        <v/>
      </c>
      <c r="AL95" s="18">
        <f>AB95-AB96</f>
        <v/>
      </c>
    </row>
    <row r="96">
      <c r="A96" s="16" t="n">
        <v>46164</v>
      </c>
      <c r="B96" s="17" t="n">
        <v>4.13</v>
      </c>
      <c r="C96" s="18">
        <f>(B96-B97)*100</f>
        <v/>
      </c>
      <c r="D96" s="17" t="n">
        <v>4.18</v>
      </c>
      <c r="E96" s="18">
        <f>(D96-D97)*100</f>
        <v/>
      </c>
      <c r="F96" s="17" t="n">
        <v>4.27</v>
      </c>
      <c r="G96" s="18">
        <f>(F96-F97)*100</f>
        <v/>
      </c>
      <c r="H96" s="17" t="n">
        <v>4.56</v>
      </c>
      <c r="I96" s="18">
        <f>(H96-H97)*100</f>
        <v/>
      </c>
      <c r="J96" s="17" t="n">
        <v>5.07</v>
      </c>
      <c r="K96" s="18">
        <f>(J96-J97)*100</f>
        <v/>
      </c>
      <c r="L96" s="18">
        <f>(F96-B96)*100</f>
        <v/>
      </c>
      <c r="M96" s="20">
        <f>(L96-$D$9)/$E$9</f>
        <v/>
      </c>
      <c r="N96" s="18">
        <f>(F96-D96)*100</f>
        <v/>
      </c>
      <c r="O96" s="20">
        <f>(N96-$D$10)/$E$10</f>
        <v/>
      </c>
      <c r="P96" s="18">
        <f>(H96-F96)*100</f>
        <v/>
      </c>
      <c r="Q96" s="20">
        <f>(P96-$D$11)/$E$11</f>
        <v/>
      </c>
      <c r="R96" s="18">
        <f>(J96-F96)*100</f>
        <v/>
      </c>
      <c r="S96" s="20">
        <f>(R96-$D$12)/$E$12</f>
        <v/>
      </c>
      <c r="T96" s="18">
        <f>(H96-B96)*100</f>
        <v/>
      </c>
      <c r="U96" s="20">
        <f>(T96-$D$13)/$E$13</f>
        <v/>
      </c>
      <c r="V96" s="18">
        <f>(H96-D96)*100</f>
        <v/>
      </c>
      <c r="W96" s="20">
        <f>(V96-$D$14)/$E$14</f>
        <v/>
      </c>
      <c r="X96" s="18">
        <f>(J96-H96)*100</f>
        <v/>
      </c>
      <c r="Y96" s="20">
        <f>(X96-$D$15)/$E$15</f>
        <v/>
      </c>
      <c r="Z96" s="18">
        <f>(J96-B96)*100</f>
        <v/>
      </c>
      <c r="AA96" s="20">
        <f>(Z96-$D$16)/$E$16</f>
        <v/>
      </c>
      <c r="AB96" s="18">
        <f>(2*F96-B96-H96)*100</f>
        <v/>
      </c>
      <c r="AC96" s="20">
        <f>(AB96-$D$17)/$E$17</f>
        <v/>
      </c>
      <c r="AD96" s="18">
        <f>L96-L97</f>
        <v/>
      </c>
      <c r="AE96" s="18">
        <f>N96-N97</f>
        <v/>
      </c>
      <c r="AF96" s="18">
        <f>P96-P97</f>
        <v/>
      </c>
      <c r="AG96" s="18">
        <f>R96-R97</f>
        <v/>
      </c>
      <c r="AH96" s="18">
        <f>T96-T97</f>
        <v/>
      </c>
      <c r="AI96" s="18">
        <f>V96-V97</f>
        <v/>
      </c>
      <c r="AJ96" s="18">
        <f>X96-X97</f>
        <v/>
      </c>
      <c r="AK96" s="18">
        <f>Z96-Z97</f>
        <v/>
      </c>
      <c r="AL96" s="18">
        <f>AB96-AB97</f>
        <v/>
      </c>
    </row>
    <row r="97">
      <c r="A97" s="16" t="n">
        <v>46163</v>
      </c>
      <c r="B97" s="17" t="n">
        <v>4.08</v>
      </c>
      <c r="C97" s="18">
        <f>(B97-B98)*100</f>
        <v/>
      </c>
      <c r="D97" s="17" t="n">
        <v>4.13</v>
      </c>
      <c r="E97" s="18">
        <f>(D97-D98)*100</f>
        <v/>
      </c>
      <c r="F97" s="17" t="n">
        <v>4.25</v>
      </c>
      <c r="G97" s="18">
        <f>(F97-F98)*100</f>
        <v/>
      </c>
      <c r="H97" s="17" t="n">
        <v>4.57</v>
      </c>
      <c r="I97" s="18">
        <f>(H97-H98)*100</f>
        <v/>
      </c>
      <c r="J97" s="17" t="n">
        <v>5.1</v>
      </c>
      <c r="K97" s="18">
        <f>(J97-J98)*100</f>
        <v/>
      </c>
      <c r="L97" s="18">
        <f>(F97-B97)*100</f>
        <v/>
      </c>
      <c r="M97" s="20">
        <f>(L97-$D$9)/$E$9</f>
        <v/>
      </c>
      <c r="N97" s="18">
        <f>(F97-D97)*100</f>
        <v/>
      </c>
      <c r="O97" s="20">
        <f>(N97-$D$10)/$E$10</f>
        <v/>
      </c>
      <c r="P97" s="18">
        <f>(H97-F97)*100</f>
        <v/>
      </c>
      <c r="Q97" s="20">
        <f>(P97-$D$11)/$E$11</f>
        <v/>
      </c>
      <c r="R97" s="18">
        <f>(J97-F97)*100</f>
        <v/>
      </c>
      <c r="S97" s="20">
        <f>(R97-$D$12)/$E$12</f>
        <v/>
      </c>
      <c r="T97" s="18">
        <f>(H97-B97)*100</f>
        <v/>
      </c>
      <c r="U97" s="20">
        <f>(T97-$D$13)/$E$13</f>
        <v/>
      </c>
      <c r="V97" s="18">
        <f>(H97-D97)*100</f>
        <v/>
      </c>
      <c r="W97" s="20">
        <f>(V97-$D$14)/$E$14</f>
        <v/>
      </c>
      <c r="X97" s="18">
        <f>(J97-H97)*100</f>
        <v/>
      </c>
      <c r="Y97" s="20">
        <f>(X97-$D$15)/$E$15</f>
        <v/>
      </c>
      <c r="Z97" s="18">
        <f>(J97-B97)*100</f>
        <v/>
      </c>
      <c r="AA97" s="20">
        <f>(Z97-$D$16)/$E$16</f>
        <v/>
      </c>
      <c r="AB97" s="18">
        <f>(2*F97-B97-H97)*100</f>
        <v/>
      </c>
      <c r="AC97" s="20">
        <f>(AB97-$D$17)/$E$17</f>
        <v/>
      </c>
      <c r="AD97" s="18">
        <f>L97-L98</f>
        <v/>
      </c>
      <c r="AE97" s="18">
        <f>N97-N98</f>
        <v/>
      </c>
      <c r="AF97" s="18">
        <f>P97-P98</f>
        <v/>
      </c>
      <c r="AG97" s="18">
        <f>R97-R98</f>
        <v/>
      </c>
      <c r="AH97" s="18">
        <f>T97-T98</f>
        <v/>
      </c>
      <c r="AI97" s="18">
        <f>V97-V98</f>
        <v/>
      </c>
      <c r="AJ97" s="18">
        <f>X97-X98</f>
        <v/>
      </c>
      <c r="AK97" s="18">
        <f>Z97-Z98</f>
        <v/>
      </c>
      <c r="AL97" s="18">
        <f>AB97-AB98</f>
        <v/>
      </c>
    </row>
    <row r="98">
      <c r="A98" s="16" t="n">
        <v>46162</v>
      </c>
      <c r="B98" s="17" t="n">
        <v>4.04</v>
      </c>
      <c r="C98" s="18">
        <f>(B98-B99)*100</f>
        <v/>
      </c>
      <c r="D98" s="17" t="n">
        <v>4.11</v>
      </c>
      <c r="E98" s="18">
        <f>(D98-D99)*100</f>
        <v/>
      </c>
      <c r="F98" s="17" t="n">
        <v>4.22</v>
      </c>
      <c r="G98" s="18">
        <f>(F98-F99)*100</f>
        <v/>
      </c>
      <c r="H98" s="17" t="n">
        <v>4.57</v>
      </c>
      <c r="I98" s="18">
        <f>(H98-H99)*100</f>
        <v/>
      </c>
      <c r="J98" s="17" t="n">
        <v>5.11</v>
      </c>
      <c r="K98" s="18">
        <f>(J98-J99)*100</f>
        <v/>
      </c>
      <c r="L98" s="18">
        <f>(F98-B98)*100</f>
        <v/>
      </c>
      <c r="M98" s="20">
        <f>(L98-$D$9)/$E$9</f>
        <v/>
      </c>
      <c r="N98" s="18">
        <f>(F98-D98)*100</f>
        <v/>
      </c>
      <c r="O98" s="20">
        <f>(N98-$D$10)/$E$10</f>
        <v/>
      </c>
      <c r="P98" s="18">
        <f>(H98-F98)*100</f>
        <v/>
      </c>
      <c r="Q98" s="20">
        <f>(P98-$D$11)/$E$11</f>
        <v/>
      </c>
      <c r="R98" s="18">
        <f>(J98-F98)*100</f>
        <v/>
      </c>
      <c r="S98" s="20">
        <f>(R98-$D$12)/$E$12</f>
        <v/>
      </c>
      <c r="T98" s="18">
        <f>(H98-B98)*100</f>
        <v/>
      </c>
      <c r="U98" s="20">
        <f>(T98-$D$13)/$E$13</f>
        <v/>
      </c>
      <c r="V98" s="18">
        <f>(H98-D98)*100</f>
        <v/>
      </c>
      <c r="W98" s="20">
        <f>(V98-$D$14)/$E$14</f>
        <v/>
      </c>
      <c r="X98" s="18">
        <f>(J98-H98)*100</f>
        <v/>
      </c>
      <c r="Y98" s="20">
        <f>(X98-$D$15)/$E$15</f>
        <v/>
      </c>
      <c r="Z98" s="18">
        <f>(J98-B98)*100</f>
        <v/>
      </c>
      <c r="AA98" s="20">
        <f>(Z98-$D$16)/$E$16</f>
        <v/>
      </c>
      <c r="AB98" s="18">
        <f>(2*F98-B98-H98)*100</f>
        <v/>
      </c>
      <c r="AC98" s="20">
        <f>(AB98-$D$17)/$E$17</f>
        <v/>
      </c>
      <c r="AD98" s="18">
        <f>L98-L99</f>
        <v/>
      </c>
      <c r="AE98" s="18">
        <f>N98-N99</f>
        <v/>
      </c>
      <c r="AF98" s="18">
        <f>P98-P99</f>
        <v/>
      </c>
      <c r="AG98" s="18">
        <f>R98-R99</f>
        <v/>
      </c>
      <c r="AH98" s="18">
        <f>T98-T99</f>
        <v/>
      </c>
      <c r="AI98" s="18">
        <f>V98-V99</f>
        <v/>
      </c>
      <c r="AJ98" s="18">
        <f>X98-X99</f>
        <v/>
      </c>
      <c r="AK98" s="18">
        <f>Z98-Z99</f>
        <v/>
      </c>
      <c r="AL98" s="18">
        <f>AB98-AB99</f>
        <v/>
      </c>
    </row>
    <row r="99">
      <c r="A99" s="16" t="n">
        <v>46161</v>
      </c>
      <c r="B99" s="17" t="n">
        <v>4.13</v>
      </c>
      <c r="C99" s="18">
        <f>(B99-B100)*100</f>
        <v/>
      </c>
      <c r="D99" s="17" t="n">
        <v>4.2</v>
      </c>
      <c r="E99" s="18">
        <f>(D99-D100)*100</f>
        <v/>
      </c>
      <c r="F99" s="17" t="n">
        <v>4.32</v>
      </c>
      <c r="G99" s="18">
        <f>(F99-F100)*100</f>
        <v/>
      </c>
      <c r="H99" s="17" t="n">
        <v>4.67</v>
      </c>
      <c r="I99" s="18">
        <f>(H99-H100)*100</f>
        <v/>
      </c>
      <c r="J99" s="17" t="n">
        <v>5.18</v>
      </c>
      <c r="K99" s="18">
        <f>(J99-J100)*100</f>
        <v/>
      </c>
      <c r="L99" s="18">
        <f>(F99-B99)*100</f>
        <v/>
      </c>
      <c r="M99" s="20">
        <f>(L99-$D$9)/$E$9</f>
        <v/>
      </c>
      <c r="N99" s="18">
        <f>(F99-D99)*100</f>
        <v/>
      </c>
      <c r="O99" s="20">
        <f>(N99-$D$10)/$E$10</f>
        <v/>
      </c>
      <c r="P99" s="18">
        <f>(H99-F99)*100</f>
        <v/>
      </c>
      <c r="Q99" s="20">
        <f>(P99-$D$11)/$E$11</f>
        <v/>
      </c>
      <c r="R99" s="18">
        <f>(J99-F99)*100</f>
        <v/>
      </c>
      <c r="S99" s="20">
        <f>(R99-$D$12)/$E$12</f>
        <v/>
      </c>
      <c r="T99" s="18">
        <f>(H99-B99)*100</f>
        <v/>
      </c>
      <c r="U99" s="20">
        <f>(T99-$D$13)/$E$13</f>
        <v/>
      </c>
      <c r="V99" s="18">
        <f>(H99-D99)*100</f>
        <v/>
      </c>
      <c r="W99" s="20">
        <f>(V99-$D$14)/$E$14</f>
        <v/>
      </c>
      <c r="X99" s="18">
        <f>(J99-H99)*100</f>
        <v/>
      </c>
      <c r="Y99" s="20">
        <f>(X99-$D$15)/$E$15</f>
        <v/>
      </c>
      <c r="Z99" s="18">
        <f>(J99-B99)*100</f>
        <v/>
      </c>
      <c r="AA99" s="20">
        <f>(Z99-$D$16)/$E$16</f>
        <v/>
      </c>
      <c r="AB99" s="18">
        <f>(2*F99-B99-H99)*100</f>
        <v/>
      </c>
      <c r="AC99" s="20">
        <f>(AB99-$D$17)/$E$17</f>
        <v/>
      </c>
      <c r="AD99" s="18">
        <f>L99-L100</f>
        <v/>
      </c>
      <c r="AE99" s="18">
        <f>N99-N100</f>
        <v/>
      </c>
      <c r="AF99" s="18">
        <f>P99-P100</f>
        <v/>
      </c>
      <c r="AG99" s="18">
        <f>R99-R100</f>
        <v/>
      </c>
      <c r="AH99" s="18">
        <f>T99-T100</f>
        <v/>
      </c>
      <c r="AI99" s="18">
        <f>V99-V100</f>
        <v/>
      </c>
      <c r="AJ99" s="18">
        <f>X99-X100</f>
        <v/>
      </c>
      <c r="AK99" s="18">
        <f>Z99-Z100</f>
        <v/>
      </c>
      <c r="AL99" s="18">
        <f>AB99-AB100</f>
        <v/>
      </c>
    </row>
    <row r="100">
      <c r="A100" s="16" t="n">
        <v>46160</v>
      </c>
      <c r="B100" s="17" t="n">
        <v>4.07</v>
      </c>
      <c r="C100" s="18">
        <f>(B100-B101)*100</f>
        <v/>
      </c>
      <c r="D100" s="17" t="n">
        <v>4.14</v>
      </c>
      <c r="E100" s="18">
        <f>(D100-D101)*100</f>
        <v/>
      </c>
      <c r="F100" s="17" t="n">
        <v>4.27</v>
      </c>
      <c r="G100" s="18">
        <f>(F100-F101)*100</f>
        <v/>
      </c>
      <c r="H100" s="17" t="n">
        <v>4.61</v>
      </c>
      <c r="I100" s="18">
        <f>(H100-H101)*100</f>
        <v/>
      </c>
      <c r="J100" s="17" t="n">
        <v>5.14</v>
      </c>
      <c r="K100" s="18">
        <f>(J100-J101)*100</f>
        <v/>
      </c>
      <c r="L100" s="18">
        <f>(F100-B100)*100</f>
        <v/>
      </c>
      <c r="M100" s="20">
        <f>(L100-$D$9)/$E$9</f>
        <v/>
      </c>
      <c r="N100" s="18">
        <f>(F100-D100)*100</f>
        <v/>
      </c>
      <c r="O100" s="20">
        <f>(N100-$D$10)/$E$10</f>
        <v/>
      </c>
      <c r="P100" s="18">
        <f>(H100-F100)*100</f>
        <v/>
      </c>
      <c r="Q100" s="20">
        <f>(P100-$D$11)/$E$11</f>
        <v/>
      </c>
      <c r="R100" s="18">
        <f>(J100-F100)*100</f>
        <v/>
      </c>
      <c r="S100" s="20">
        <f>(R100-$D$12)/$E$12</f>
        <v/>
      </c>
      <c r="T100" s="18">
        <f>(H100-B100)*100</f>
        <v/>
      </c>
      <c r="U100" s="20">
        <f>(T100-$D$13)/$E$13</f>
        <v/>
      </c>
      <c r="V100" s="18">
        <f>(H100-D100)*100</f>
        <v/>
      </c>
      <c r="W100" s="20">
        <f>(V100-$D$14)/$E$14</f>
        <v/>
      </c>
      <c r="X100" s="18">
        <f>(J100-H100)*100</f>
        <v/>
      </c>
      <c r="Y100" s="20">
        <f>(X100-$D$15)/$E$15</f>
        <v/>
      </c>
      <c r="Z100" s="18">
        <f>(J100-B100)*100</f>
        <v/>
      </c>
      <c r="AA100" s="20">
        <f>(Z100-$D$16)/$E$16</f>
        <v/>
      </c>
      <c r="AB100" s="18">
        <f>(2*F100-B100-H100)*100</f>
        <v/>
      </c>
      <c r="AC100" s="20">
        <f>(AB100-$D$17)/$E$17</f>
        <v/>
      </c>
      <c r="AD100" s="18">
        <f>L100-L101</f>
        <v/>
      </c>
      <c r="AE100" s="18">
        <f>N100-N101</f>
        <v/>
      </c>
      <c r="AF100" s="18">
        <f>P100-P101</f>
        <v/>
      </c>
      <c r="AG100" s="18">
        <f>R100-R101</f>
        <v/>
      </c>
      <c r="AH100" s="18">
        <f>T100-T101</f>
        <v/>
      </c>
      <c r="AI100" s="18">
        <f>V100-V101</f>
        <v/>
      </c>
      <c r="AJ100" s="18">
        <f>X100-X101</f>
        <v/>
      </c>
      <c r="AK100" s="18">
        <f>Z100-Z101</f>
        <v/>
      </c>
      <c r="AL100" s="18">
        <f>AB100-AB101</f>
        <v/>
      </c>
    </row>
    <row r="101">
      <c r="A101" s="16" t="n">
        <v>46157</v>
      </c>
      <c r="B101" s="17" t="n">
        <v>4.09</v>
      </c>
      <c r="C101" s="18">
        <f>(B101-B102)*100</f>
        <v/>
      </c>
      <c r="D101" s="17" t="n">
        <v>4.14</v>
      </c>
      <c r="E101" s="18">
        <f>(D101-D102)*100</f>
        <v/>
      </c>
      <c r="F101" s="17" t="n">
        <v>4.26</v>
      </c>
      <c r="G101" s="18">
        <f>(F101-F102)*100</f>
        <v/>
      </c>
      <c r="H101" s="17" t="n">
        <v>4.59</v>
      </c>
      <c r="I101" s="18">
        <f>(H101-H102)*100</f>
        <v/>
      </c>
      <c r="J101" s="17" t="n">
        <v>5.12</v>
      </c>
      <c r="K101" s="18">
        <f>(J101-J102)*100</f>
        <v/>
      </c>
      <c r="L101" s="18">
        <f>(F101-B101)*100</f>
        <v/>
      </c>
      <c r="M101" s="20">
        <f>(L101-$D$9)/$E$9</f>
        <v/>
      </c>
      <c r="N101" s="18">
        <f>(F101-D101)*100</f>
        <v/>
      </c>
      <c r="O101" s="20">
        <f>(N101-$D$10)/$E$10</f>
        <v/>
      </c>
      <c r="P101" s="18">
        <f>(H101-F101)*100</f>
        <v/>
      </c>
      <c r="Q101" s="20">
        <f>(P101-$D$11)/$E$11</f>
        <v/>
      </c>
      <c r="R101" s="18">
        <f>(J101-F101)*100</f>
        <v/>
      </c>
      <c r="S101" s="20">
        <f>(R101-$D$12)/$E$12</f>
        <v/>
      </c>
      <c r="T101" s="18">
        <f>(H101-B101)*100</f>
        <v/>
      </c>
      <c r="U101" s="20">
        <f>(T101-$D$13)/$E$13</f>
        <v/>
      </c>
      <c r="V101" s="18">
        <f>(H101-D101)*100</f>
        <v/>
      </c>
      <c r="W101" s="20">
        <f>(V101-$D$14)/$E$14</f>
        <v/>
      </c>
      <c r="X101" s="18">
        <f>(J101-H101)*100</f>
        <v/>
      </c>
      <c r="Y101" s="20">
        <f>(X101-$D$15)/$E$15</f>
        <v/>
      </c>
      <c r="Z101" s="18">
        <f>(J101-B101)*100</f>
        <v/>
      </c>
      <c r="AA101" s="20">
        <f>(Z101-$D$16)/$E$16</f>
        <v/>
      </c>
      <c r="AB101" s="18">
        <f>(2*F101-B101-H101)*100</f>
        <v/>
      </c>
      <c r="AC101" s="20">
        <f>(AB101-$D$17)/$E$17</f>
        <v/>
      </c>
      <c r="AD101" s="18">
        <f>L101-L102</f>
        <v/>
      </c>
      <c r="AE101" s="18">
        <f>N101-N102</f>
        <v/>
      </c>
      <c r="AF101" s="18">
        <f>P101-P102</f>
        <v/>
      </c>
      <c r="AG101" s="18">
        <f>R101-R102</f>
        <v/>
      </c>
      <c r="AH101" s="18">
        <f>T101-T102</f>
        <v/>
      </c>
      <c r="AI101" s="18">
        <f>V101-V102</f>
        <v/>
      </c>
      <c r="AJ101" s="18">
        <f>X101-X102</f>
        <v/>
      </c>
      <c r="AK101" s="18">
        <f>Z101-Z102</f>
        <v/>
      </c>
      <c r="AL101" s="18">
        <f>AB101-AB102</f>
        <v/>
      </c>
    </row>
    <row r="102">
      <c r="A102" s="16" t="n">
        <v>46156</v>
      </c>
      <c r="B102" s="17" t="n">
        <v>4</v>
      </c>
      <c r="C102" s="18">
        <f>(B102-B103)*100</f>
        <v/>
      </c>
      <c r="D102" s="17" t="n">
        <v>4.04</v>
      </c>
      <c r="E102" s="18">
        <f>(D102-D103)*100</f>
        <v/>
      </c>
      <c r="F102" s="17" t="n">
        <v>4.13</v>
      </c>
      <c r="G102" s="18">
        <f>(F102-F103)*100</f>
        <v/>
      </c>
      <c r="H102" s="17" t="n">
        <v>4.47</v>
      </c>
      <c r="I102" s="18">
        <f>(H102-H103)*100</f>
        <v/>
      </c>
      <c r="J102" s="17" t="n">
        <v>5.02</v>
      </c>
      <c r="K102" s="18">
        <f>(J102-J103)*100</f>
        <v/>
      </c>
      <c r="L102" s="18">
        <f>(F102-B102)*100</f>
        <v/>
      </c>
      <c r="M102" s="20">
        <f>(L102-$D$9)/$E$9</f>
        <v/>
      </c>
      <c r="N102" s="18">
        <f>(F102-D102)*100</f>
        <v/>
      </c>
      <c r="O102" s="20">
        <f>(N102-$D$10)/$E$10</f>
        <v/>
      </c>
      <c r="P102" s="18">
        <f>(H102-F102)*100</f>
        <v/>
      </c>
      <c r="Q102" s="20">
        <f>(P102-$D$11)/$E$11</f>
        <v/>
      </c>
      <c r="R102" s="18">
        <f>(J102-F102)*100</f>
        <v/>
      </c>
      <c r="S102" s="20">
        <f>(R102-$D$12)/$E$12</f>
        <v/>
      </c>
      <c r="T102" s="18">
        <f>(H102-B102)*100</f>
        <v/>
      </c>
      <c r="U102" s="20">
        <f>(T102-$D$13)/$E$13</f>
        <v/>
      </c>
      <c r="V102" s="18">
        <f>(H102-D102)*100</f>
        <v/>
      </c>
      <c r="W102" s="20">
        <f>(V102-$D$14)/$E$14</f>
        <v/>
      </c>
      <c r="X102" s="18">
        <f>(J102-H102)*100</f>
        <v/>
      </c>
      <c r="Y102" s="20">
        <f>(X102-$D$15)/$E$15</f>
        <v/>
      </c>
      <c r="Z102" s="18">
        <f>(J102-B102)*100</f>
        <v/>
      </c>
      <c r="AA102" s="20">
        <f>(Z102-$D$16)/$E$16</f>
        <v/>
      </c>
      <c r="AB102" s="18">
        <f>(2*F102-B102-H102)*100</f>
        <v/>
      </c>
      <c r="AC102" s="20">
        <f>(AB102-$D$17)/$E$17</f>
        <v/>
      </c>
      <c r="AD102" s="18">
        <f>L102-L103</f>
        <v/>
      </c>
      <c r="AE102" s="18">
        <f>N102-N103</f>
        <v/>
      </c>
      <c r="AF102" s="18">
        <f>P102-P103</f>
        <v/>
      </c>
      <c r="AG102" s="18">
        <f>R102-R103</f>
        <v/>
      </c>
      <c r="AH102" s="18">
        <f>T102-T103</f>
        <v/>
      </c>
      <c r="AI102" s="18">
        <f>V102-V103</f>
        <v/>
      </c>
      <c r="AJ102" s="18">
        <f>X102-X103</f>
        <v/>
      </c>
      <c r="AK102" s="18">
        <f>Z102-Z103</f>
        <v/>
      </c>
      <c r="AL102" s="18">
        <f>AB102-AB103</f>
        <v/>
      </c>
    </row>
    <row r="103">
      <c r="A103" s="16" t="n">
        <v>46155</v>
      </c>
      <c r="B103" s="17" t="n">
        <v>3.98</v>
      </c>
      <c r="C103" s="18">
        <f>(B103-B104)*100</f>
        <v/>
      </c>
      <c r="D103" s="17" t="n">
        <v>4</v>
      </c>
      <c r="E103" s="18">
        <f>(D103-D104)*100</f>
        <v/>
      </c>
      <c r="F103" s="17" t="n">
        <v>4.12</v>
      </c>
      <c r="G103" s="18">
        <f>(F103-F104)*100</f>
        <v/>
      </c>
      <c r="H103" s="17" t="n">
        <v>4.46</v>
      </c>
      <c r="I103" s="18">
        <f>(H103-H104)*100</f>
        <v/>
      </c>
      <c r="J103" s="17" t="n">
        <v>5.03</v>
      </c>
      <c r="K103" s="18">
        <f>(J103-J104)*100</f>
        <v/>
      </c>
      <c r="L103" s="18">
        <f>(F103-B103)*100</f>
        <v/>
      </c>
      <c r="M103" s="20">
        <f>(L103-$D$9)/$E$9</f>
        <v/>
      </c>
      <c r="N103" s="18">
        <f>(F103-D103)*100</f>
        <v/>
      </c>
      <c r="O103" s="20">
        <f>(N103-$D$10)/$E$10</f>
        <v/>
      </c>
      <c r="P103" s="18">
        <f>(H103-F103)*100</f>
        <v/>
      </c>
      <c r="Q103" s="20">
        <f>(P103-$D$11)/$E$11</f>
        <v/>
      </c>
      <c r="R103" s="18">
        <f>(J103-F103)*100</f>
        <v/>
      </c>
      <c r="S103" s="20">
        <f>(R103-$D$12)/$E$12</f>
        <v/>
      </c>
      <c r="T103" s="18">
        <f>(H103-B103)*100</f>
        <v/>
      </c>
      <c r="U103" s="20">
        <f>(T103-$D$13)/$E$13</f>
        <v/>
      </c>
      <c r="V103" s="18">
        <f>(H103-D103)*100</f>
        <v/>
      </c>
      <c r="W103" s="20">
        <f>(V103-$D$14)/$E$14</f>
        <v/>
      </c>
      <c r="X103" s="18">
        <f>(J103-H103)*100</f>
        <v/>
      </c>
      <c r="Y103" s="20">
        <f>(X103-$D$15)/$E$15</f>
        <v/>
      </c>
      <c r="Z103" s="18">
        <f>(J103-B103)*100</f>
        <v/>
      </c>
      <c r="AA103" s="20">
        <f>(Z103-$D$16)/$E$16</f>
        <v/>
      </c>
      <c r="AB103" s="18">
        <f>(2*F103-B103-H103)*100</f>
        <v/>
      </c>
      <c r="AC103" s="20">
        <f>(AB103-$D$17)/$E$17</f>
        <v/>
      </c>
      <c r="AD103" s="18">
        <f>L103-L104</f>
        <v/>
      </c>
      <c r="AE103" s="18">
        <f>N103-N104</f>
        <v/>
      </c>
      <c r="AF103" s="18">
        <f>P103-P104</f>
        <v/>
      </c>
      <c r="AG103" s="18">
        <f>R103-R104</f>
        <v/>
      </c>
      <c r="AH103" s="18">
        <f>T103-T104</f>
        <v/>
      </c>
      <c r="AI103" s="18">
        <f>V103-V104</f>
        <v/>
      </c>
      <c r="AJ103" s="18">
        <f>X103-X104</f>
        <v/>
      </c>
      <c r="AK103" s="18">
        <f>Z103-Z104</f>
        <v/>
      </c>
      <c r="AL103" s="18">
        <f>AB103-AB104</f>
        <v/>
      </c>
    </row>
    <row r="104">
      <c r="A104" s="16" t="n">
        <v>46154</v>
      </c>
      <c r="B104" s="17" t="n">
        <v>4</v>
      </c>
      <c r="C104" s="18">
        <f>(B104-B105)*100</f>
        <v/>
      </c>
      <c r="D104" s="17" t="n">
        <v>4.01</v>
      </c>
      <c r="E104" s="18">
        <f>(D104-D105)*100</f>
        <v/>
      </c>
      <c r="F104" s="17" t="n">
        <v>4.12</v>
      </c>
      <c r="G104" s="18">
        <f>(F104-F105)*100</f>
        <v/>
      </c>
      <c r="H104" s="17" t="n">
        <v>4.46</v>
      </c>
      <c r="I104" s="18">
        <f>(H104-H105)*100</f>
        <v/>
      </c>
      <c r="J104" s="17" t="n">
        <v>5.03</v>
      </c>
      <c r="K104" s="18">
        <f>(J104-J105)*100</f>
        <v/>
      </c>
      <c r="L104" s="18">
        <f>(F104-B104)*100</f>
        <v/>
      </c>
      <c r="M104" s="20">
        <f>(L104-$D$9)/$E$9</f>
        <v/>
      </c>
      <c r="N104" s="18">
        <f>(F104-D104)*100</f>
        <v/>
      </c>
      <c r="O104" s="20">
        <f>(N104-$D$10)/$E$10</f>
        <v/>
      </c>
      <c r="P104" s="18">
        <f>(H104-F104)*100</f>
        <v/>
      </c>
      <c r="Q104" s="20">
        <f>(P104-$D$11)/$E$11</f>
        <v/>
      </c>
      <c r="R104" s="18">
        <f>(J104-F104)*100</f>
        <v/>
      </c>
      <c r="S104" s="20">
        <f>(R104-$D$12)/$E$12</f>
        <v/>
      </c>
      <c r="T104" s="18">
        <f>(H104-B104)*100</f>
        <v/>
      </c>
      <c r="U104" s="20">
        <f>(T104-$D$13)/$E$13</f>
        <v/>
      </c>
      <c r="V104" s="18">
        <f>(H104-D104)*100</f>
        <v/>
      </c>
      <c r="W104" s="20">
        <f>(V104-$D$14)/$E$14</f>
        <v/>
      </c>
      <c r="X104" s="18">
        <f>(J104-H104)*100</f>
        <v/>
      </c>
      <c r="Y104" s="20">
        <f>(X104-$D$15)/$E$15</f>
        <v/>
      </c>
      <c r="Z104" s="18">
        <f>(J104-B104)*100</f>
        <v/>
      </c>
      <c r="AA104" s="20">
        <f>(Z104-$D$16)/$E$16</f>
        <v/>
      </c>
      <c r="AB104" s="18">
        <f>(2*F104-B104-H104)*100</f>
        <v/>
      </c>
      <c r="AC104" s="20">
        <f>(AB104-$D$17)/$E$17</f>
        <v/>
      </c>
      <c r="AD104" s="18">
        <f>L104-L105</f>
        <v/>
      </c>
      <c r="AE104" s="18">
        <f>N104-N105</f>
        <v/>
      </c>
      <c r="AF104" s="18">
        <f>P104-P105</f>
        <v/>
      </c>
      <c r="AG104" s="18">
        <f>R104-R105</f>
        <v/>
      </c>
      <c r="AH104" s="18">
        <f>T104-T105</f>
        <v/>
      </c>
      <c r="AI104" s="18">
        <f>V104-V105</f>
        <v/>
      </c>
      <c r="AJ104" s="18">
        <f>X104-X105</f>
        <v/>
      </c>
      <c r="AK104" s="18">
        <f>Z104-Z105</f>
        <v/>
      </c>
      <c r="AL104" s="18">
        <f>AB104-AB105</f>
        <v/>
      </c>
    </row>
    <row r="105">
      <c r="A105" s="16" t="n">
        <v>46153</v>
      </c>
      <c r="B105" s="17" t="n">
        <v>3.95</v>
      </c>
      <c r="C105" s="18">
        <f>(B105-B106)*100</f>
        <v/>
      </c>
      <c r="D105" s="17" t="n">
        <v>3.96</v>
      </c>
      <c r="E105" s="18">
        <f>(D105-D106)*100</f>
        <v/>
      </c>
      <c r="F105" s="17" t="n">
        <v>4.07</v>
      </c>
      <c r="G105" s="18">
        <f>(F105-F106)*100</f>
        <v/>
      </c>
      <c r="H105" s="17" t="n">
        <v>4.42</v>
      </c>
      <c r="I105" s="18">
        <f>(H105-H106)*100</f>
        <v/>
      </c>
      <c r="J105" s="17" t="n">
        <v>4.98</v>
      </c>
      <c r="K105" s="18">
        <f>(J105-J106)*100</f>
        <v/>
      </c>
      <c r="L105" s="18">
        <f>(F105-B105)*100</f>
        <v/>
      </c>
      <c r="M105" s="20">
        <f>(L105-$D$9)/$E$9</f>
        <v/>
      </c>
      <c r="N105" s="18">
        <f>(F105-D105)*100</f>
        <v/>
      </c>
      <c r="O105" s="20">
        <f>(N105-$D$10)/$E$10</f>
        <v/>
      </c>
      <c r="P105" s="18">
        <f>(H105-F105)*100</f>
        <v/>
      </c>
      <c r="Q105" s="20">
        <f>(P105-$D$11)/$E$11</f>
        <v/>
      </c>
      <c r="R105" s="18">
        <f>(J105-F105)*100</f>
        <v/>
      </c>
      <c r="S105" s="20">
        <f>(R105-$D$12)/$E$12</f>
        <v/>
      </c>
      <c r="T105" s="18">
        <f>(H105-B105)*100</f>
        <v/>
      </c>
      <c r="U105" s="20">
        <f>(T105-$D$13)/$E$13</f>
        <v/>
      </c>
      <c r="V105" s="18">
        <f>(H105-D105)*100</f>
        <v/>
      </c>
      <c r="W105" s="20">
        <f>(V105-$D$14)/$E$14</f>
        <v/>
      </c>
      <c r="X105" s="18">
        <f>(J105-H105)*100</f>
        <v/>
      </c>
      <c r="Y105" s="20">
        <f>(X105-$D$15)/$E$15</f>
        <v/>
      </c>
      <c r="Z105" s="18">
        <f>(J105-B105)*100</f>
        <v/>
      </c>
      <c r="AA105" s="20">
        <f>(Z105-$D$16)/$E$16</f>
        <v/>
      </c>
      <c r="AB105" s="18">
        <f>(2*F105-B105-H105)*100</f>
        <v/>
      </c>
      <c r="AC105" s="20">
        <f>(AB105-$D$17)/$E$17</f>
        <v/>
      </c>
      <c r="AD105" s="18">
        <f>L105-L106</f>
        <v/>
      </c>
      <c r="AE105" s="18">
        <f>N105-N106</f>
        <v/>
      </c>
      <c r="AF105" s="18">
        <f>P105-P106</f>
        <v/>
      </c>
      <c r="AG105" s="18">
        <f>R105-R106</f>
        <v/>
      </c>
      <c r="AH105" s="18">
        <f>T105-T106</f>
        <v/>
      </c>
      <c r="AI105" s="18">
        <f>V105-V106</f>
        <v/>
      </c>
      <c r="AJ105" s="18">
        <f>X105-X106</f>
        <v/>
      </c>
      <c r="AK105" s="18">
        <f>Z105-Z106</f>
        <v/>
      </c>
      <c r="AL105" s="18">
        <f>AB105-AB106</f>
        <v/>
      </c>
    </row>
    <row r="106">
      <c r="A106" s="16" t="n">
        <v>46150</v>
      </c>
      <c r="B106" s="17" t="n">
        <v>3.9</v>
      </c>
      <c r="C106" s="18">
        <f>(B106-B107)*100</f>
        <v/>
      </c>
      <c r="D106" s="17" t="n">
        <v>3.92</v>
      </c>
      <c r="E106" s="18">
        <f>(D106-D107)*100</f>
        <v/>
      </c>
      <c r="F106" s="17" t="n">
        <v>4.02</v>
      </c>
      <c r="G106" s="18">
        <f>(F106-F107)*100</f>
        <v/>
      </c>
      <c r="H106" s="17" t="n">
        <v>4.38</v>
      </c>
      <c r="I106" s="18">
        <f>(H106-H107)*100</f>
        <v/>
      </c>
      <c r="J106" s="17" t="n">
        <v>4.95</v>
      </c>
      <c r="K106" s="18">
        <f>(J106-J107)*100</f>
        <v/>
      </c>
      <c r="L106" s="18">
        <f>(F106-B106)*100</f>
        <v/>
      </c>
      <c r="M106" s="20">
        <f>(L106-$D$9)/$E$9</f>
        <v/>
      </c>
      <c r="N106" s="18">
        <f>(F106-D106)*100</f>
        <v/>
      </c>
      <c r="O106" s="20">
        <f>(N106-$D$10)/$E$10</f>
        <v/>
      </c>
      <c r="P106" s="18">
        <f>(H106-F106)*100</f>
        <v/>
      </c>
      <c r="Q106" s="20">
        <f>(P106-$D$11)/$E$11</f>
        <v/>
      </c>
      <c r="R106" s="18">
        <f>(J106-F106)*100</f>
        <v/>
      </c>
      <c r="S106" s="20">
        <f>(R106-$D$12)/$E$12</f>
        <v/>
      </c>
      <c r="T106" s="18">
        <f>(H106-B106)*100</f>
        <v/>
      </c>
      <c r="U106" s="20">
        <f>(T106-$D$13)/$E$13</f>
        <v/>
      </c>
      <c r="V106" s="18">
        <f>(H106-D106)*100</f>
        <v/>
      </c>
      <c r="W106" s="20">
        <f>(V106-$D$14)/$E$14</f>
        <v/>
      </c>
      <c r="X106" s="18">
        <f>(J106-H106)*100</f>
        <v/>
      </c>
      <c r="Y106" s="20">
        <f>(X106-$D$15)/$E$15</f>
        <v/>
      </c>
      <c r="Z106" s="18">
        <f>(J106-B106)*100</f>
        <v/>
      </c>
      <c r="AA106" s="20">
        <f>(Z106-$D$16)/$E$16</f>
        <v/>
      </c>
      <c r="AB106" s="18">
        <f>(2*F106-B106-H106)*100</f>
        <v/>
      </c>
      <c r="AC106" s="20">
        <f>(AB106-$D$17)/$E$17</f>
        <v/>
      </c>
      <c r="AD106" s="18">
        <f>L106-L107</f>
        <v/>
      </c>
      <c r="AE106" s="18">
        <f>N106-N107</f>
        <v/>
      </c>
      <c r="AF106" s="18">
        <f>P106-P107</f>
        <v/>
      </c>
      <c r="AG106" s="18">
        <f>R106-R107</f>
        <v/>
      </c>
      <c r="AH106" s="18">
        <f>T106-T107</f>
        <v/>
      </c>
      <c r="AI106" s="18">
        <f>V106-V107</f>
        <v/>
      </c>
      <c r="AJ106" s="18">
        <f>X106-X107</f>
        <v/>
      </c>
      <c r="AK106" s="18">
        <f>Z106-Z107</f>
        <v/>
      </c>
      <c r="AL106" s="18">
        <f>AB106-AB107</f>
        <v/>
      </c>
    </row>
    <row r="107">
      <c r="A107" s="16" t="n">
        <v>46149</v>
      </c>
      <c r="B107" s="17" t="n">
        <v>3.92</v>
      </c>
      <c r="C107" s="18">
        <f>(B107-B108)*100</f>
        <v/>
      </c>
      <c r="D107" s="17" t="n">
        <v>3.94</v>
      </c>
      <c r="E107" s="18">
        <f>(D107-D108)*100</f>
        <v/>
      </c>
      <c r="F107" s="17" t="n">
        <v>4.04</v>
      </c>
      <c r="G107" s="18">
        <f>(F107-F108)*100</f>
        <v/>
      </c>
      <c r="H107" s="17" t="n">
        <v>4.41</v>
      </c>
      <c r="I107" s="18">
        <f>(H107-H108)*100</f>
        <v/>
      </c>
      <c r="J107" s="17" t="n">
        <v>4.97</v>
      </c>
      <c r="K107" s="18">
        <f>(J107-J108)*100</f>
        <v/>
      </c>
      <c r="L107" s="18">
        <f>(F107-B107)*100</f>
        <v/>
      </c>
      <c r="M107" s="20">
        <f>(L107-$D$9)/$E$9</f>
        <v/>
      </c>
      <c r="N107" s="18">
        <f>(F107-D107)*100</f>
        <v/>
      </c>
      <c r="O107" s="20">
        <f>(N107-$D$10)/$E$10</f>
        <v/>
      </c>
      <c r="P107" s="18">
        <f>(H107-F107)*100</f>
        <v/>
      </c>
      <c r="Q107" s="20">
        <f>(P107-$D$11)/$E$11</f>
        <v/>
      </c>
      <c r="R107" s="18">
        <f>(J107-F107)*100</f>
        <v/>
      </c>
      <c r="S107" s="20">
        <f>(R107-$D$12)/$E$12</f>
        <v/>
      </c>
      <c r="T107" s="18">
        <f>(H107-B107)*100</f>
        <v/>
      </c>
      <c r="U107" s="20">
        <f>(T107-$D$13)/$E$13</f>
        <v/>
      </c>
      <c r="V107" s="18">
        <f>(H107-D107)*100</f>
        <v/>
      </c>
      <c r="W107" s="20">
        <f>(V107-$D$14)/$E$14</f>
        <v/>
      </c>
      <c r="X107" s="18">
        <f>(J107-H107)*100</f>
        <v/>
      </c>
      <c r="Y107" s="20">
        <f>(X107-$D$15)/$E$15</f>
        <v/>
      </c>
      <c r="Z107" s="18">
        <f>(J107-B107)*100</f>
        <v/>
      </c>
      <c r="AA107" s="20">
        <f>(Z107-$D$16)/$E$16</f>
        <v/>
      </c>
      <c r="AB107" s="18">
        <f>(2*F107-B107-H107)*100</f>
        <v/>
      </c>
      <c r="AC107" s="20">
        <f>(AB107-$D$17)/$E$17</f>
        <v/>
      </c>
      <c r="AD107" s="18">
        <f>L107-L108</f>
        <v/>
      </c>
      <c r="AE107" s="18">
        <f>N107-N108</f>
        <v/>
      </c>
      <c r="AF107" s="18">
        <f>P107-P108</f>
        <v/>
      </c>
      <c r="AG107" s="18">
        <f>R107-R108</f>
        <v/>
      </c>
      <c r="AH107" s="18">
        <f>T107-T108</f>
        <v/>
      </c>
      <c r="AI107" s="18">
        <f>V107-V108</f>
        <v/>
      </c>
      <c r="AJ107" s="18">
        <f>X107-X108</f>
        <v/>
      </c>
      <c r="AK107" s="18">
        <f>Z107-Z108</f>
        <v/>
      </c>
      <c r="AL107" s="18">
        <f>AB107-AB108</f>
        <v/>
      </c>
    </row>
    <row r="108">
      <c r="A108" s="16" t="n">
        <v>46148</v>
      </c>
      <c r="B108" s="17" t="n">
        <v>3.87</v>
      </c>
      <c r="C108" s="18">
        <f>(B108-B109)*100</f>
        <v/>
      </c>
      <c r="D108" s="17" t="n">
        <v>3.89</v>
      </c>
      <c r="E108" s="18">
        <f>(D108-D109)*100</f>
        <v/>
      </c>
      <c r="F108" s="17" t="n">
        <v>3.99</v>
      </c>
      <c r="G108" s="18">
        <f>(F108-F109)*100</f>
        <v/>
      </c>
      <c r="H108" s="17" t="n">
        <v>4.36</v>
      </c>
      <c r="I108" s="18">
        <f>(H108-H109)*100</f>
        <v/>
      </c>
      <c r="J108" s="17" t="n">
        <v>4.94</v>
      </c>
      <c r="K108" s="18">
        <f>(J108-J109)*100</f>
        <v/>
      </c>
      <c r="L108" s="18">
        <f>(F108-B108)*100</f>
        <v/>
      </c>
      <c r="M108" s="20">
        <f>(L108-$D$9)/$E$9</f>
        <v/>
      </c>
      <c r="N108" s="18">
        <f>(F108-D108)*100</f>
        <v/>
      </c>
      <c r="O108" s="20">
        <f>(N108-$D$10)/$E$10</f>
        <v/>
      </c>
      <c r="P108" s="18">
        <f>(H108-F108)*100</f>
        <v/>
      </c>
      <c r="Q108" s="20">
        <f>(P108-$D$11)/$E$11</f>
        <v/>
      </c>
      <c r="R108" s="18">
        <f>(J108-F108)*100</f>
        <v/>
      </c>
      <c r="S108" s="20">
        <f>(R108-$D$12)/$E$12</f>
        <v/>
      </c>
      <c r="T108" s="18">
        <f>(H108-B108)*100</f>
        <v/>
      </c>
      <c r="U108" s="20">
        <f>(T108-$D$13)/$E$13</f>
        <v/>
      </c>
      <c r="V108" s="18">
        <f>(H108-D108)*100</f>
        <v/>
      </c>
      <c r="W108" s="20">
        <f>(V108-$D$14)/$E$14</f>
        <v/>
      </c>
      <c r="X108" s="18">
        <f>(J108-H108)*100</f>
        <v/>
      </c>
      <c r="Y108" s="20">
        <f>(X108-$D$15)/$E$15</f>
        <v/>
      </c>
      <c r="Z108" s="18">
        <f>(J108-B108)*100</f>
        <v/>
      </c>
      <c r="AA108" s="20">
        <f>(Z108-$D$16)/$E$16</f>
        <v/>
      </c>
      <c r="AB108" s="18">
        <f>(2*F108-B108-H108)*100</f>
        <v/>
      </c>
      <c r="AC108" s="20">
        <f>(AB108-$D$17)/$E$17</f>
        <v/>
      </c>
      <c r="AD108" s="18">
        <f>L108-L109</f>
        <v/>
      </c>
      <c r="AE108" s="18">
        <f>N108-N109</f>
        <v/>
      </c>
      <c r="AF108" s="18">
        <f>P108-P109</f>
        <v/>
      </c>
      <c r="AG108" s="18">
        <f>R108-R109</f>
        <v/>
      </c>
      <c r="AH108" s="18">
        <f>T108-T109</f>
        <v/>
      </c>
      <c r="AI108" s="18">
        <f>V108-V109</f>
        <v/>
      </c>
      <c r="AJ108" s="18">
        <f>X108-X109</f>
        <v/>
      </c>
      <c r="AK108" s="18">
        <f>Z108-Z109</f>
        <v/>
      </c>
      <c r="AL108" s="18">
        <f>AB108-AB109</f>
        <v/>
      </c>
    </row>
    <row r="109">
      <c r="A109" s="16" t="n">
        <v>46147</v>
      </c>
      <c r="B109" s="17" t="n">
        <v>3.93</v>
      </c>
      <c r="C109" s="18">
        <f>(B109-B110)*100</f>
        <v/>
      </c>
      <c r="D109" s="17" t="n">
        <v>3.97</v>
      </c>
      <c r="E109" s="18">
        <f>(D109-D110)*100</f>
        <v/>
      </c>
      <c r="F109" s="17" t="n">
        <v>4.08</v>
      </c>
      <c r="G109" s="18">
        <f>(F109-F110)*100</f>
        <v/>
      </c>
      <c r="H109" s="17" t="n">
        <v>4.43</v>
      </c>
      <c r="I109" s="18">
        <f>(H109-H110)*100</f>
        <v/>
      </c>
      <c r="J109" s="17" t="n">
        <v>4.98</v>
      </c>
      <c r="K109" s="18">
        <f>(J109-J110)*100</f>
        <v/>
      </c>
      <c r="L109" s="18">
        <f>(F109-B109)*100</f>
        <v/>
      </c>
      <c r="M109" s="20">
        <f>(L109-$D$9)/$E$9</f>
        <v/>
      </c>
      <c r="N109" s="18">
        <f>(F109-D109)*100</f>
        <v/>
      </c>
      <c r="O109" s="20">
        <f>(N109-$D$10)/$E$10</f>
        <v/>
      </c>
      <c r="P109" s="18">
        <f>(H109-F109)*100</f>
        <v/>
      </c>
      <c r="Q109" s="20">
        <f>(P109-$D$11)/$E$11</f>
        <v/>
      </c>
      <c r="R109" s="18">
        <f>(J109-F109)*100</f>
        <v/>
      </c>
      <c r="S109" s="20">
        <f>(R109-$D$12)/$E$12</f>
        <v/>
      </c>
      <c r="T109" s="18">
        <f>(H109-B109)*100</f>
        <v/>
      </c>
      <c r="U109" s="20">
        <f>(T109-$D$13)/$E$13</f>
        <v/>
      </c>
      <c r="V109" s="18">
        <f>(H109-D109)*100</f>
        <v/>
      </c>
      <c r="W109" s="20">
        <f>(V109-$D$14)/$E$14</f>
        <v/>
      </c>
      <c r="X109" s="18">
        <f>(J109-H109)*100</f>
        <v/>
      </c>
      <c r="Y109" s="20">
        <f>(X109-$D$15)/$E$15</f>
        <v/>
      </c>
      <c r="Z109" s="18">
        <f>(J109-B109)*100</f>
        <v/>
      </c>
      <c r="AA109" s="20">
        <f>(Z109-$D$16)/$E$16</f>
        <v/>
      </c>
      <c r="AB109" s="18">
        <f>(2*F109-B109-H109)*100</f>
        <v/>
      </c>
      <c r="AC109" s="20">
        <f>(AB109-$D$17)/$E$17</f>
        <v/>
      </c>
      <c r="AD109" s="18">
        <f>L109-L110</f>
        <v/>
      </c>
      <c r="AE109" s="18">
        <f>N109-N110</f>
        <v/>
      </c>
      <c r="AF109" s="18">
        <f>P109-P110</f>
        <v/>
      </c>
      <c r="AG109" s="18">
        <f>R109-R110</f>
        <v/>
      </c>
      <c r="AH109" s="18">
        <f>T109-T110</f>
        <v/>
      </c>
      <c r="AI109" s="18">
        <f>V109-V110</f>
        <v/>
      </c>
      <c r="AJ109" s="18">
        <f>X109-X110</f>
        <v/>
      </c>
      <c r="AK109" s="18">
        <f>Z109-Z110</f>
        <v/>
      </c>
      <c r="AL109" s="18">
        <f>AB109-AB110</f>
        <v/>
      </c>
    </row>
    <row r="110">
      <c r="A110" s="16" t="n">
        <v>46146</v>
      </c>
      <c r="B110" s="17" t="n">
        <v>3.95</v>
      </c>
      <c r="C110" s="18">
        <f>(B110-B111)*100</f>
        <v/>
      </c>
      <c r="D110" s="17" t="n">
        <v>3.98</v>
      </c>
      <c r="E110" s="18">
        <f>(D110-D111)*100</f>
        <v/>
      </c>
      <c r="F110" s="17" t="n">
        <v>4.08</v>
      </c>
      <c r="G110" s="18">
        <f>(F110-F111)*100</f>
        <v/>
      </c>
      <c r="H110" s="17" t="n">
        <v>4.45</v>
      </c>
      <c r="I110" s="18">
        <f>(H110-H111)*100</f>
        <v/>
      </c>
      <c r="J110" s="17" t="n">
        <v>5.02</v>
      </c>
      <c r="K110" s="18">
        <f>(J110-J111)*100</f>
        <v/>
      </c>
      <c r="L110" s="18">
        <f>(F110-B110)*100</f>
        <v/>
      </c>
      <c r="M110" s="20">
        <f>(L110-$D$9)/$E$9</f>
        <v/>
      </c>
      <c r="N110" s="18">
        <f>(F110-D110)*100</f>
        <v/>
      </c>
      <c r="O110" s="20">
        <f>(N110-$D$10)/$E$10</f>
        <v/>
      </c>
      <c r="P110" s="18">
        <f>(H110-F110)*100</f>
        <v/>
      </c>
      <c r="Q110" s="20">
        <f>(P110-$D$11)/$E$11</f>
        <v/>
      </c>
      <c r="R110" s="18">
        <f>(J110-F110)*100</f>
        <v/>
      </c>
      <c r="S110" s="20">
        <f>(R110-$D$12)/$E$12</f>
        <v/>
      </c>
      <c r="T110" s="18">
        <f>(H110-B110)*100</f>
        <v/>
      </c>
      <c r="U110" s="20">
        <f>(T110-$D$13)/$E$13</f>
        <v/>
      </c>
      <c r="V110" s="18">
        <f>(H110-D110)*100</f>
        <v/>
      </c>
      <c r="W110" s="20">
        <f>(V110-$D$14)/$E$14</f>
        <v/>
      </c>
      <c r="X110" s="18">
        <f>(J110-H110)*100</f>
        <v/>
      </c>
      <c r="Y110" s="20">
        <f>(X110-$D$15)/$E$15</f>
        <v/>
      </c>
      <c r="Z110" s="18">
        <f>(J110-B110)*100</f>
        <v/>
      </c>
      <c r="AA110" s="20">
        <f>(Z110-$D$16)/$E$16</f>
        <v/>
      </c>
      <c r="AB110" s="18">
        <f>(2*F110-B110-H110)*100</f>
        <v/>
      </c>
      <c r="AC110" s="20">
        <f>(AB110-$D$17)/$E$17</f>
        <v/>
      </c>
      <c r="AD110" s="18">
        <f>L110-L111</f>
        <v/>
      </c>
      <c r="AE110" s="18">
        <f>N110-N111</f>
        <v/>
      </c>
      <c r="AF110" s="18">
        <f>P110-P111</f>
        <v/>
      </c>
      <c r="AG110" s="18">
        <f>R110-R111</f>
        <v/>
      </c>
      <c r="AH110" s="18">
        <f>T110-T111</f>
        <v/>
      </c>
      <c r="AI110" s="18">
        <f>V110-V111</f>
        <v/>
      </c>
      <c r="AJ110" s="18">
        <f>X110-X111</f>
        <v/>
      </c>
      <c r="AK110" s="18">
        <f>Z110-Z111</f>
        <v/>
      </c>
      <c r="AL110" s="18">
        <f>AB110-AB111</f>
        <v/>
      </c>
    </row>
    <row r="111">
      <c r="A111" s="16" t="n">
        <v>46143</v>
      </c>
      <c r="B111" s="17" t="n">
        <v>3.88</v>
      </c>
      <c r="C111" s="18">
        <f>(B111-B112)*100</f>
        <v/>
      </c>
      <c r="D111" s="17" t="n">
        <v>3.91</v>
      </c>
      <c r="E111" s="18">
        <f>(D111-D112)*100</f>
        <v/>
      </c>
      <c r="F111" s="17" t="n">
        <v>4.02</v>
      </c>
      <c r="G111" s="18">
        <f>(F111-F112)*100</f>
        <v/>
      </c>
      <c r="H111" s="17" t="n">
        <v>4.39</v>
      </c>
      <c r="I111" s="18">
        <f>(H111-H112)*100</f>
        <v/>
      </c>
      <c r="J111" s="17" t="n">
        <v>4.97</v>
      </c>
      <c r="K111" s="18">
        <f>(J111-J112)*100</f>
        <v/>
      </c>
      <c r="L111" s="18">
        <f>(F111-B111)*100</f>
        <v/>
      </c>
      <c r="M111" s="20">
        <f>(L111-$D$9)/$E$9</f>
        <v/>
      </c>
      <c r="N111" s="18">
        <f>(F111-D111)*100</f>
        <v/>
      </c>
      <c r="O111" s="20">
        <f>(N111-$D$10)/$E$10</f>
        <v/>
      </c>
      <c r="P111" s="18">
        <f>(H111-F111)*100</f>
        <v/>
      </c>
      <c r="Q111" s="20">
        <f>(P111-$D$11)/$E$11</f>
        <v/>
      </c>
      <c r="R111" s="18">
        <f>(J111-F111)*100</f>
        <v/>
      </c>
      <c r="S111" s="20">
        <f>(R111-$D$12)/$E$12</f>
        <v/>
      </c>
      <c r="T111" s="18">
        <f>(H111-B111)*100</f>
        <v/>
      </c>
      <c r="U111" s="20">
        <f>(T111-$D$13)/$E$13</f>
        <v/>
      </c>
      <c r="V111" s="18">
        <f>(H111-D111)*100</f>
        <v/>
      </c>
      <c r="W111" s="20">
        <f>(V111-$D$14)/$E$14</f>
        <v/>
      </c>
      <c r="X111" s="18">
        <f>(J111-H111)*100</f>
        <v/>
      </c>
      <c r="Y111" s="20">
        <f>(X111-$D$15)/$E$15</f>
        <v/>
      </c>
      <c r="Z111" s="18">
        <f>(J111-B111)*100</f>
        <v/>
      </c>
      <c r="AA111" s="20">
        <f>(Z111-$D$16)/$E$16</f>
        <v/>
      </c>
      <c r="AB111" s="18">
        <f>(2*F111-B111-H111)*100</f>
        <v/>
      </c>
      <c r="AC111" s="20">
        <f>(AB111-$D$17)/$E$17</f>
        <v/>
      </c>
      <c r="AD111" s="18">
        <f>L111-L112</f>
        <v/>
      </c>
      <c r="AE111" s="18">
        <f>N111-N112</f>
        <v/>
      </c>
      <c r="AF111" s="18">
        <f>P111-P112</f>
        <v/>
      </c>
      <c r="AG111" s="18">
        <f>R111-R112</f>
        <v/>
      </c>
      <c r="AH111" s="18">
        <f>T111-T112</f>
        <v/>
      </c>
      <c r="AI111" s="18">
        <f>V111-V112</f>
        <v/>
      </c>
      <c r="AJ111" s="18">
        <f>X111-X112</f>
        <v/>
      </c>
      <c r="AK111" s="18">
        <f>Z111-Z112</f>
        <v/>
      </c>
      <c r="AL111" s="18">
        <f>AB111-AB112</f>
        <v/>
      </c>
    </row>
    <row r="112">
      <c r="A112" s="16" t="n">
        <v>46142</v>
      </c>
      <c r="B112" s="17" t="n">
        <v>3.88</v>
      </c>
      <c r="C112" s="18">
        <f>(B112-B113)*100</f>
        <v/>
      </c>
      <c r="D112" s="17" t="n">
        <v>3.91</v>
      </c>
      <c r="E112" s="18">
        <f>(D112-D113)*100</f>
        <v/>
      </c>
      <c r="F112" s="17" t="n">
        <v>4.02</v>
      </c>
      <c r="G112" s="18">
        <f>(F112-F113)*100</f>
        <v/>
      </c>
      <c r="H112" s="17" t="n">
        <v>4.4</v>
      </c>
      <c r="I112" s="18">
        <f>(H112-H113)*100</f>
        <v/>
      </c>
      <c r="J112" s="17" t="n">
        <v>4.98</v>
      </c>
      <c r="K112" s="18">
        <f>(J112-J113)*100</f>
        <v/>
      </c>
      <c r="L112" s="18">
        <f>(F112-B112)*100</f>
        <v/>
      </c>
      <c r="M112" s="20">
        <f>(L112-$D$9)/$E$9</f>
        <v/>
      </c>
      <c r="N112" s="18">
        <f>(F112-D112)*100</f>
        <v/>
      </c>
      <c r="O112" s="20">
        <f>(N112-$D$10)/$E$10</f>
        <v/>
      </c>
      <c r="P112" s="18">
        <f>(H112-F112)*100</f>
        <v/>
      </c>
      <c r="Q112" s="20">
        <f>(P112-$D$11)/$E$11</f>
        <v/>
      </c>
      <c r="R112" s="18">
        <f>(J112-F112)*100</f>
        <v/>
      </c>
      <c r="S112" s="20">
        <f>(R112-$D$12)/$E$12</f>
        <v/>
      </c>
      <c r="T112" s="18">
        <f>(H112-B112)*100</f>
        <v/>
      </c>
      <c r="U112" s="20">
        <f>(T112-$D$13)/$E$13</f>
        <v/>
      </c>
      <c r="V112" s="18">
        <f>(H112-D112)*100</f>
        <v/>
      </c>
      <c r="W112" s="20">
        <f>(V112-$D$14)/$E$14</f>
        <v/>
      </c>
      <c r="X112" s="18">
        <f>(J112-H112)*100</f>
        <v/>
      </c>
      <c r="Y112" s="20">
        <f>(X112-$D$15)/$E$15</f>
        <v/>
      </c>
      <c r="Z112" s="18">
        <f>(J112-B112)*100</f>
        <v/>
      </c>
      <c r="AA112" s="20">
        <f>(Z112-$D$16)/$E$16</f>
        <v/>
      </c>
      <c r="AB112" s="18">
        <f>(2*F112-B112-H112)*100</f>
        <v/>
      </c>
      <c r="AC112" s="20">
        <f>(AB112-$D$17)/$E$17</f>
        <v/>
      </c>
      <c r="AD112" s="18">
        <f>L112-L113</f>
        <v/>
      </c>
      <c r="AE112" s="18">
        <f>N112-N113</f>
        <v/>
      </c>
      <c r="AF112" s="18">
        <f>P112-P113</f>
        <v/>
      </c>
      <c r="AG112" s="18">
        <f>R112-R113</f>
        <v/>
      </c>
      <c r="AH112" s="18">
        <f>T112-T113</f>
        <v/>
      </c>
      <c r="AI112" s="18">
        <f>V112-V113</f>
        <v/>
      </c>
      <c r="AJ112" s="18">
        <f>X112-X113</f>
        <v/>
      </c>
      <c r="AK112" s="18">
        <f>Z112-Z113</f>
        <v/>
      </c>
      <c r="AL112" s="18">
        <f>AB112-AB113</f>
        <v/>
      </c>
    </row>
    <row r="113">
      <c r="A113" s="16" t="n">
        <v>46141</v>
      </c>
      <c r="B113" s="17" t="n">
        <v>3.92</v>
      </c>
      <c r="C113" s="18">
        <f>(B113-B114)*100</f>
        <v/>
      </c>
      <c r="D113" s="17" t="n">
        <v>3.94</v>
      </c>
      <c r="E113" s="18">
        <f>(D113-D114)*100</f>
        <v/>
      </c>
      <c r="F113" s="17" t="n">
        <v>4.05</v>
      </c>
      <c r="G113" s="18">
        <f>(F113-F114)*100</f>
        <v/>
      </c>
      <c r="H113" s="17" t="n">
        <v>4.42</v>
      </c>
      <c r="I113" s="18">
        <f>(H113-H114)*100</f>
        <v/>
      </c>
      <c r="J113" s="17" t="n">
        <v>4.98</v>
      </c>
      <c r="K113" s="18">
        <f>(J113-J114)*100</f>
        <v/>
      </c>
      <c r="L113" s="18">
        <f>(F113-B113)*100</f>
        <v/>
      </c>
      <c r="M113" s="20">
        <f>(L113-$D$9)/$E$9</f>
        <v/>
      </c>
      <c r="N113" s="18">
        <f>(F113-D113)*100</f>
        <v/>
      </c>
      <c r="O113" s="20">
        <f>(N113-$D$10)/$E$10</f>
        <v/>
      </c>
      <c r="P113" s="18">
        <f>(H113-F113)*100</f>
        <v/>
      </c>
      <c r="Q113" s="20">
        <f>(P113-$D$11)/$E$11</f>
        <v/>
      </c>
      <c r="R113" s="18">
        <f>(J113-F113)*100</f>
        <v/>
      </c>
      <c r="S113" s="20">
        <f>(R113-$D$12)/$E$12</f>
        <v/>
      </c>
      <c r="T113" s="18">
        <f>(H113-B113)*100</f>
        <v/>
      </c>
      <c r="U113" s="20">
        <f>(T113-$D$13)/$E$13</f>
        <v/>
      </c>
      <c r="V113" s="18">
        <f>(H113-D113)*100</f>
        <v/>
      </c>
      <c r="W113" s="20">
        <f>(V113-$D$14)/$E$14</f>
        <v/>
      </c>
      <c r="X113" s="18">
        <f>(J113-H113)*100</f>
        <v/>
      </c>
      <c r="Y113" s="20">
        <f>(X113-$D$15)/$E$15</f>
        <v/>
      </c>
      <c r="Z113" s="18">
        <f>(J113-B113)*100</f>
        <v/>
      </c>
      <c r="AA113" s="20">
        <f>(Z113-$D$16)/$E$16</f>
        <v/>
      </c>
      <c r="AB113" s="18">
        <f>(2*F113-B113-H113)*100</f>
        <v/>
      </c>
      <c r="AC113" s="20">
        <f>(AB113-$D$17)/$E$17</f>
        <v/>
      </c>
      <c r="AD113" s="18">
        <f>L113-L114</f>
        <v/>
      </c>
      <c r="AE113" s="18">
        <f>N113-N114</f>
        <v/>
      </c>
      <c r="AF113" s="18">
        <f>P113-P114</f>
        <v/>
      </c>
      <c r="AG113" s="18">
        <f>R113-R114</f>
        <v/>
      </c>
      <c r="AH113" s="18">
        <f>T113-T114</f>
        <v/>
      </c>
      <c r="AI113" s="18">
        <f>V113-V114</f>
        <v/>
      </c>
      <c r="AJ113" s="18">
        <f>X113-X114</f>
        <v/>
      </c>
      <c r="AK113" s="18">
        <f>Z113-Z114</f>
        <v/>
      </c>
      <c r="AL113" s="18">
        <f>AB113-AB114</f>
        <v/>
      </c>
    </row>
    <row r="114">
      <c r="A114" s="16" t="n">
        <v>46140</v>
      </c>
      <c r="B114" s="17" t="n">
        <v>3.84</v>
      </c>
      <c r="C114" s="18">
        <f>(B114-B115)*100</f>
        <v/>
      </c>
      <c r="D114" s="17" t="n">
        <v>3.86</v>
      </c>
      <c r="E114" s="18">
        <f>(D114-D115)*100</f>
        <v/>
      </c>
      <c r="F114" s="17" t="n">
        <v>3.97</v>
      </c>
      <c r="G114" s="18">
        <f>(F114-F115)*100</f>
        <v/>
      </c>
      <c r="H114" s="17" t="n">
        <v>4.36</v>
      </c>
      <c r="I114" s="18">
        <f>(H114-H115)*100</f>
        <v/>
      </c>
      <c r="J114" s="17" t="n">
        <v>4.94</v>
      </c>
      <c r="K114" s="18">
        <f>(J114-J115)*100</f>
        <v/>
      </c>
      <c r="L114" s="18">
        <f>(F114-B114)*100</f>
        <v/>
      </c>
      <c r="M114" s="20">
        <f>(L114-$D$9)/$E$9</f>
        <v/>
      </c>
      <c r="N114" s="18">
        <f>(F114-D114)*100</f>
        <v/>
      </c>
      <c r="O114" s="20">
        <f>(N114-$D$10)/$E$10</f>
        <v/>
      </c>
      <c r="P114" s="18">
        <f>(H114-F114)*100</f>
        <v/>
      </c>
      <c r="Q114" s="20">
        <f>(P114-$D$11)/$E$11</f>
        <v/>
      </c>
      <c r="R114" s="18">
        <f>(J114-F114)*100</f>
        <v/>
      </c>
      <c r="S114" s="20">
        <f>(R114-$D$12)/$E$12</f>
        <v/>
      </c>
      <c r="T114" s="18">
        <f>(H114-B114)*100</f>
        <v/>
      </c>
      <c r="U114" s="20">
        <f>(T114-$D$13)/$E$13</f>
        <v/>
      </c>
      <c r="V114" s="18">
        <f>(H114-D114)*100</f>
        <v/>
      </c>
      <c r="W114" s="20">
        <f>(V114-$D$14)/$E$14</f>
        <v/>
      </c>
      <c r="X114" s="18">
        <f>(J114-H114)*100</f>
        <v/>
      </c>
      <c r="Y114" s="20">
        <f>(X114-$D$15)/$E$15</f>
        <v/>
      </c>
      <c r="Z114" s="18">
        <f>(J114-B114)*100</f>
        <v/>
      </c>
      <c r="AA114" s="20">
        <f>(Z114-$D$16)/$E$16</f>
        <v/>
      </c>
      <c r="AB114" s="18">
        <f>(2*F114-B114-H114)*100</f>
        <v/>
      </c>
      <c r="AC114" s="20">
        <f>(AB114-$D$17)/$E$17</f>
        <v/>
      </c>
      <c r="AD114" s="18">
        <f>L114-L115</f>
        <v/>
      </c>
      <c r="AE114" s="18">
        <f>N114-N115</f>
        <v/>
      </c>
      <c r="AF114" s="18">
        <f>P114-P115</f>
        <v/>
      </c>
      <c r="AG114" s="18">
        <f>R114-R115</f>
        <v/>
      </c>
      <c r="AH114" s="18">
        <f>T114-T115</f>
        <v/>
      </c>
      <c r="AI114" s="18">
        <f>V114-V115</f>
        <v/>
      </c>
      <c r="AJ114" s="18">
        <f>X114-X115</f>
        <v/>
      </c>
      <c r="AK114" s="18">
        <f>Z114-Z115</f>
        <v/>
      </c>
      <c r="AL114" s="18">
        <f>AB114-AB115</f>
        <v/>
      </c>
    </row>
    <row r="115">
      <c r="A115" s="16" t="n">
        <v>46139</v>
      </c>
      <c r="B115" s="17" t="n">
        <v>3.78</v>
      </c>
      <c r="C115" s="18">
        <f>(B115-B116)*100</f>
        <v/>
      </c>
      <c r="D115" s="17" t="n">
        <v>3.83</v>
      </c>
      <c r="E115" s="18">
        <f>(D115-D116)*100</f>
        <v/>
      </c>
      <c r="F115" s="17" t="n">
        <v>3.94</v>
      </c>
      <c r="G115" s="18">
        <f>(F115-F116)*100</f>
        <v/>
      </c>
      <c r="H115" s="17" t="n">
        <v>4.35</v>
      </c>
      <c r="I115" s="18">
        <f>(H115-H116)*100</f>
        <v/>
      </c>
      <c r="J115" s="17" t="n">
        <v>4.94</v>
      </c>
      <c r="K115" s="18">
        <f>(J115-J116)*100</f>
        <v/>
      </c>
      <c r="L115" s="18">
        <f>(F115-B115)*100</f>
        <v/>
      </c>
      <c r="M115" s="20">
        <f>(L115-$D$9)/$E$9</f>
        <v/>
      </c>
      <c r="N115" s="18">
        <f>(F115-D115)*100</f>
        <v/>
      </c>
      <c r="O115" s="20">
        <f>(N115-$D$10)/$E$10</f>
        <v/>
      </c>
      <c r="P115" s="18">
        <f>(H115-F115)*100</f>
        <v/>
      </c>
      <c r="Q115" s="20">
        <f>(P115-$D$11)/$E$11</f>
        <v/>
      </c>
      <c r="R115" s="18">
        <f>(J115-F115)*100</f>
        <v/>
      </c>
      <c r="S115" s="20">
        <f>(R115-$D$12)/$E$12</f>
        <v/>
      </c>
      <c r="T115" s="18">
        <f>(H115-B115)*100</f>
        <v/>
      </c>
      <c r="U115" s="20">
        <f>(T115-$D$13)/$E$13</f>
        <v/>
      </c>
      <c r="V115" s="18">
        <f>(H115-D115)*100</f>
        <v/>
      </c>
      <c r="W115" s="20">
        <f>(V115-$D$14)/$E$14</f>
        <v/>
      </c>
      <c r="X115" s="18">
        <f>(J115-H115)*100</f>
        <v/>
      </c>
      <c r="Y115" s="20">
        <f>(X115-$D$15)/$E$15</f>
        <v/>
      </c>
      <c r="Z115" s="18">
        <f>(J115-B115)*100</f>
        <v/>
      </c>
      <c r="AA115" s="20">
        <f>(Z115-$D$16)/$E$16</f>
        <v/>
      </c>
      <c r="AB115" s="18">
        <f>(2*F115-B115-H115)*100</f>
        <v/>
      </c>
      <c r="AC115" s="20">
        <f>(AB115-$D$17)/$E$17</f>
        <v/>
      </c>
      <c r="AD115" s="18">
        <f>L115-L116</f>
        <v/>
      </c>
      <c r="AE115" s="18">
        <f>N115-N116</f>
        <v/>
      </c>
      <c r="AF115" s="18">
        <f>P115-P116</f>
        <v/>
      </c>
      <c r="AG115" s="18">
        <f>R115-R116</f>
        <v/>
      </c>
      <c r="AH115" s="18">
        <f>T115-T116</f>
        <v/>
      </c>
      <c r="AI115" s="18">
        <f>V115-V116</f>
        <v/>
      </c>
      <c r="AJ115" s="18">
        <f>X115-X116</f>
        <v/>
      </c>
      <c r="AK115" s="18">
        <f>Z115-Z116</f>
        <v/>
      </c>
      <c r="AL115" s="18">
        <f>AB115-AB116</f>
        <v/>
      </c>
    </row>
    <row r="116">
      <c r="A116" s="16" t="n">
        <v>46136</v>
      </c>
      <c r="B116" s="17" t="n">
        <v>3.78</v>
      </c>
      <c r="C116" s="18">
        <f>(B116-B117)*100</f>
        <v/>
      </c>
      <c r="D116" s="17" t="n">
        <v>3.8</v>
      </c>
      <c r="E116" s="18">
        <f>(D116-D117)*100</f>
        <v/>
      </c>
      <c r="F116" s="17" t="n">
        <v>3.92</v>
      </c>
      <c r="G116" s="18">
        <f>(F116-F117)*100</f>
        <v/>
      </c>
      <c r="H116" s="17" t="n">
        <v>4.31</v>
      </c>
      <c r="I116" s="18">
        <f>(H116-H117)*100</f>
        <v/>
      </c>
      <c r="J116" s="17" t="n">
        <v>4.91</v>
      </c>
      <c r="K116" s="18">
        <f>(J116-J117)*100</f>
        <v/>
      </c>
      <c r="L116" s="18">
        <f>(F116-B116)*100</f>
        <v/>
      </c>
      <c r="M116" s="20">
        <f>(L116-$D$9)/$E$9</f>
        <v/>
      </c>
      <c r="N116" s="18">
        <f>(F116-D116)*100</f>
        <v/>
      </c>
      <c r="O116" s="20">
        <f>(N116-$D$10)/$E$10</f>
        <v/>
      </c>
      <c r="P116" s="18">
        <f>(H116-F116)*100</f>
        <v/>
      </c>
      <c r="Q116" s="20">
        <f>(P116-$D$11)/$E$11</f>
        <v/>
      </c>
      <c r="R116" s="18">
        <f>(J116-F116)*100</f>
        <v/>
      </c>
      <c r="S116" s="20">
        <f>(R116-$D$12)/$E$12</f>
        <v/>
      </c>
      <c r="T116" s="18">
        <f>(H116-B116)*100</f>
        <v/>
      </c>
      <c r="U116" s="20">
        <f>(T116-$D$13)/$E$13</f>
        <v/>
      </c>
      <c r="V116" s="18">
        <f>(H116-D116)*100</f>
        <v/>
      </c>
      <c r="W116" s="20">
        <f>(V116-$D$14)/$E$14</f>
        <v/>
      </c>
      <c r="X116" s="18">
        <f>(J116-H116)*100</f>
        <v/>
      </c>
      <c r="Y116" s="20">
        <f>(X116-$D$15)/$E$15</f>
        <v/>
      </c>
      <c r="Z116" s="18">
        <f>(J116-B116)*100</f>
        <v/>
      </c>
      <c r="AA116" s="20">
        <f>(Z116-$D$16)/$E$16</f>
        <v/>
      </c>
      <c r="AB116" s="18">
        <f>(2*F116-B116-H116)*100</f>
        <v/>
      </c>
      <c r="AC116" s="20">
        <f>(AB116-$D$17)/$E$17</f>
        <v/>
      </c>
      <c r="AD116" s="18">
        <f>L116-L117</f>
        <v/>
      </c>
      <c r="AE116" s="18">
        <f>N116-N117</f>
        <v/>
      </c>
      <c r="AF116" s="18">
        <f>P116-P117</f>
        <v/>
      </c>
      <c r="AG116" s="18">
        <f>R116-R117</f>
        <v/>
      </c>
      <c r="AH116" s="18">
        <f>T116-T117</f>
        <v/>
      </c>
      <c r="AI116" s="18">
        <f>V116-V117</f>
        <v/>
      </c>
      <c r="AJ116" s="18">
        <f>X116-X117</f>
        <v/>
      </c>
      <c r="AK116" s="18">
        <f>Z116-Z117</f>
        <v/>
      </c>
      <c r="AL116" s="18">
        <f>AB116-AB117</f>
        <v/>
      </c>
    </row>
    <row r="117">
      <c r="A117" s="16" t="n">
        <v>46135</v>
      </c>
      <c r="B117" s="17" t="n">
        <v>3.83</v>
      </c>
      <c r="C117" s="18">
        <f>(B117-B118)*100</f>
        <v/>
      </c>
      <c r="D117" s="17" t="n">
        <v>3.84</v>
      </c>
      <c r="E117" s="18">
        <f>(D117-D118)*100</f>
        <v/>
      </c>
      <c r="F117" s="17" t="n">
        <v>3.96</v>
      </c>
      <c r="G117" s="18">
        <f>(F117-F118)*100</f>
        <v/>
      </c>
      <c r="H117" s="17" t="n">
        <v>4.34</v>
      </c>
      <c r="I117" s="18">
        <f>(H117-H118)*100</f>
        <v/>
      </c>
      <c r="J117" s="17" t="n">
        <v>4.92</v>
      </c>
      <c r="K117" s="18">
        <f>(J117-J118)*100</f>
        <v/>
      </c>
      <c r="L117" s="18">
        <f>(F117-B117)*100</f>
        <v/>
      </c>
      <c r="M117" s="20">
        <f>(L117-$D$9)/$E$9</f>
        <v/>
      </c>
      <c r="N117" s="18">
        <f>(F117-D117)*100</f>
        <v/>
      </c>
      <c r="O117" s="20">
        <f>(N117-$D$10)/$E$10</f>
        <v/>
      </c>
      <c r="P117" s="18">
        <f>(H117-F117)*100</f>
        <v/>
      </c>
      <c r="Q117" s="20">
        <f>(P117-$D$11)/$E$11</f>
        <v/>
      </c>
      <c r="R117" s="18">
        <f>(J117-F117)*100</f>
        <v/>
      </c>
      <c r="S117" s="20">
        <f>(R117-$D$12)/$E$12</f>
        <v/>
      </c>
      <c r="T117" s="18">
        <f>(H117-B117)*100</f>
        <v/>
      </c>
      <c r="U117" s="20">
        <f>(T117-$D$13)/$E$13</f>
        <v/>
      </c>
      <c r="V117" s="18">
        <f>(H117-D117)*100</f>
        <v/>
      </c>
      <c r="W117" s="20">
        <f>(V117-$D$14)/$E$14</f>
        <v/>
      </c>
      <c r="X117" s="18">
        <f>(J117-H117)*100</f>
        <v/>
      </c>
      <c r="Y117" s="20">
        <f>(X117-$D$15)/$E$15</f>
        <v/>
      </c>
      <c r="Z117" s="18">
        <f>(J117-B117)*100</f>
        <v/>
      </c>
      <c r="AA117" s="20">
        <f>(Z117-$D$16)/$E$16</f>
        <v/>
      </c>
      <c r="AB117" s="18">
        <f>(2*F117-B117-H117)*100</f>
        <v/>
      </c>
      <c r="AC117" s="20">
        <f>(AB117-$D$17)/$E$17</f>
        <v/>
      </c>
      <c r="AD117" s="18">
        <f>L117-L118</f>
        <v/>
      </c>
      <c r="AE117" s="18">
        <f>N117-N118</f>
        <v/>
      </c>
      <c r="AF117" s="18">
        <f>P117-P118</f>
        <v/>
      </c>
      <c r="AG117" s="18">
        <f>R117-R118</f>
        <v/>
      </c>
      <c r="AH117" s="18">
        <f>T117-T118</f>
        <v/>
      </c>
      <c r="AI117" s="18">
        <f>V117-V118</f>
        <v/>
      </c>
      <c r="AJ117" s="18">
        <f>X117-X118</f>
        <v/>
      </c>
      <c r="AK117" s="18">
        <f>Z117-Z118</f>
        <v/>
      </c>
      <c r="AL117" s="18">
        <f>AB117-AB118</f>
        <v/>
      </c>
    </row>
    <row r="118">
      <c r="A118" s="16" t="n">
        <v>46134</v>
      </c>
      <c r="B118" s="17" t="n">
        <v>3.79</v>
      </c>
      <c r="C118" s="18">
        <f>(B118-B119)*100</f>
        <v/>
      </c>
      <c r="D118" s="17" t="n">
        <v>3.81</v>
      </c>
      <c r="E118" s="18">
        <f>(D118-D119)*100</f>
        <v/>
      </c>
      <c r="F118" s="17" t="n">
        <v>3.91</v>
      </c>
      <c r="G118" s="18">
        <f>(F118-F119)*100</f>
        <v/>
      </c>
      <c r="H118" s="17" t="n">
        <v>4.3</v>
      </c>
      <c r="I118" s="18">
        <f>(H118-H119)*100</f>
        <v/>
      </c>
      <c r="J118" s="17" t="n">
        <v>4.9</v>
      </c>
      <c r="K118" s="18">
        <f>(J118-J119)*100</f>
        <v/>
      </c>
      <c r="L118" s="18">
        <f>(F118-B118)*100</f>
        <v/>
      </c>
      <c r="M118" s="20">
        <f>(L118-$D$9)/$E$9</f>
        <v/>
      </c>
      <c r="N118" s="18">
        <f>(F118-D118)*100</f>
        <v/>
      </c>
      <c r="O118" s="20">
        <f>(N118-$D$10)/$E$10</f>
        <v/>
      </c>
      <c r="P118" s="18">
        <f>(H118-F118)*100</f>
        <v/>
      </c>
      <c r="Q118" s="20">
        <f>(P118-$D$11)/$E$11</f>
        <v/>
      </c>
      <c r="R118" s="18">
        <f>(J118-F118)*100</f>
        <v/>
      </c>
      <c r="S118" s="20">
        <f>(R118-$D$12)/$E$12</f>
        <v/>
      </c>
      <c r="T118" s="18">
        <f>(H118-B118)*100</f>
        <v/>
      </c>
      <c r="U118" s="20">
        <f>(T118-$D$13)/$E$13</f>
        <v/>
      </c>
      <c r="V118" s="18">
        <f>(H118-D118)*100</f>
        <v/>
      </c>
      <c r="W118" s="20">
        <f>(V118-$D$14)/$E$14</f>
        <v/>
      </c>
      <c r="X118" s="18">
        <f>(J118-H118)*100</f>
        <v/>
      </c>
      <c r="Y118" s="20">
        <f>(X118-$D$15)/$E$15</f>
        <v/>
      </c>
      <c r="Z118" s="18">
        <f>(J118-B118)*100</f>
        <v/>
      </c>
      <c r="AA118" s="20">
        <f>(Z118-$D$16)/$E$16</f>
        <v/>
      </c>
      <c r="AB118" s="18">
        <f>(2*F118-B118-H118)*100</f>
        <v/>
      </c>
      <c r="AC118" s="20">
        <f>(AB118-$D$17)/$E$17</f>
        <v/>
      </c>
      <c r="AD118" s="18">
        <f>L118-L119</f>
        <v/>
      </c>
      <c r="AE118" s="18">
        <f>N118-N119</f>
        <v/>
      </c>
      <c r="AF118" s="18">
        <f>P118-P119</f>
        <v/>
      </c>
      <c r="AG118" s="18">
        <f>R118-R119</f>
        <v/>
      </c>
      <c r="AH118" s="18">
        <f>T118-T119</f>
        <v/>
      </c>
      <c r="AI118" s="18">
        <f>V118-V119</f>
        <v/>
      </c>
      <c r="AJ118" s="18">
        <f>X118-X119</f>
        <v/>
      </c>
      <c r="AK118" s="18">
        <f>Z118-Z119</f>
        <v/>
      </c>
      <c r="AL118" s="18">
        <f>AB118-AB119</f>
        <v/>
      </c>
    </row>
    <row r="119">
      <c r="A119" s="16" t="n">
        <v>46133</v>
      </c>
      <c r="B119" s="17" t="n">
        <v>3.78</v>
      </c>
      <c r="C119" s="18">
        <f>(B119-B120)*100</f>
        <v/>
      </c>
      <c r="D119" s="17" t="n">
        <v>3.8</v>
      </c>
      <c r="E119" s="18">
        <f>(D119-D120)*100</f>
        <v/>
      </c>
      <c r="F119" s="17" t="n">
        <v>3.91</v>
      </c>
      <c r="G119" s="18">
        <f>(F119-F120)*100</f>
        <v/>
      </c>
      <c r="H119" s="17" t="n">
        <v>4.3</v>
      </c>
      <c r="I119" s="18">
        <f>(H119-H120)*100</f>
        <v/>
      </c>
      <c r="J119" s="17" t="n">
        <v>4.89</v>
      </c>
      <c r="K119" s="18">
        <f>(J119-J120)*100</f>
        <v/>
      </c>
      <c r="L119" s="18">
        <f>(F119-B119)*100</f>
        <v/>
      </c>
      <c r="M119" s="20">
        <f>(L119-$D$9)/$E$9</f>
        <v/>
      </c>
      <c r="N119" s="18">
        <f>(F119-D119)*100</f>
        <v/>
      </c>
      <c r="O119" s="20">
        <f>(N119-$D$10)/$E$10</f>
        <v/>
      </c>
      <c r="P119" s="18">
        <f>(H119-F119)*100</f>
        <v/>
      </c>
      <c r="Q119" s="20">
        <f>(P119-$D$11)/$E$11</f>
        <v/>
      </c>
      <c r="R119" s="18">
        <f>(J119-F119)*100</f>
        <v/>
      </c>
      <c r="S119" s="20">
        <f>(R119-$D$12)/$E$12</f>
        <v/>
      </c>
      <c r="T119" s="18">
        <f>(H119-B119)*100</f>
        <v/>
      </c>
      <c r="U119" s="20">
        <f>(T119-$D$13)/$E$13</f>
        <v/>
      </c>
      <c r="V119" s="18">
        <f>(H119-D119)*100</f>
        <v/>
      </c>
      <c r="W119" s="20">
        <f>(V119-$D$14)/$E$14</f>
        <v/>
      </c>
      <c r="X119" s="18">
        <f>(J119-H119)*100</f>
        <v/>
      </c>
      <c r="Y119" s="20">
        <f>(X119-$D$15)/$E$15</f>
        <v/>
      </c>
      <c r="Z119" s="18">
        <f>(J119-B119)*100</f>
        <v/>
      </c>
      <c r="AA119" s="20">
        <f>(Z119-$D$16)/$E$16</f>
        <v/>
      </c>
      <c r="AB119" s="18">
        <f>(2*F119-B119-H119)*100</f>
        <v/>
      </c>
      <c r="AC119" s="20">
        <f>(AB119-$D$17)/$E$17</f>
        <v/>
      </c>
      <c r="AD119" s="18">
        <f>L119-L120</f>
        <v/>
      </c>
      <c r="AE119" s="18">
        <f>N119-N120</f>
        <v/>
      </c>
      <c r="AF119" s="18">
        <f>P119-P120</f>
        <v/>
      </c>
      <c r="AG119" s="18">
        <f>R119-R120</f>
        <v/>
      </c>
      <c r="AH119" s="18">
        <f>T119-T120</f>
        <v/>
      </c>
      <c r="AI119" s="18">
        <f>V119-V120</f>
        <v/>
      </c>
      <c r="AJ119" s="18">
        <f>X119-X120</f>
        <v/>
      </c>
      <c r="AK119" s="18">
        <f>Z119-Z120</f>
        <v/>
      </c>
      <c r="AL119" s="18">
        <f>AB119-AB120</f>
        <v/>
      </c>
    </row>
    <row r="120">
      <c r="A120" s="16" t="n">
        <v>46132</v>
      </c>
      <c r="B120" s="17" t="n">
        <v>3.72</v>
      </c>
      <c r="C120" s="18">
        <f>(B120-B121)*100</f>
        <v/>
      </c>
      <c r="D120" s="17" t="n">
        <v>3.73</v>
      </c>
      <c r="E120" s="18">
        <f>(D120-D121)*100</f>
        <v/>
      </c>
      <c r="F120" s="17" t="n">
        <v>3.86</v>
      </c>
      <c r="G120" s="18">
        <f>(F120-F121)*100</f>
        <v/>
      </c>
      <c r="H120" s="17" t="n">
        <v>4.26</v>
      </c>
      <c r="I120" s="18">
        <f>(H120-H121)*100</f>
        <v/>
      </c>
      <c r="J120" s="17" t="n">
        <v>4.88</v>
      </c>
      <c r="K120" s="18">
        <f>(J120-J121)*100</f>
        <v/>
      </c>
      <c r="L120" s="18">
        <f>(F120-B120)*100</f>
        <v/>
      </c>
      <c r="M120" s="20">
        <f>(L120-$D$9)/$E$9</f>
        <v/>
      </c>
      <c r="N120" s="18">
        <f>(F120-D120)*100</f>
        <v/>
      </c>
      <c r="O120" s="20">
        <f>(N120-$D$10)/$E$10</f>
        <v/>
      </c>
      <c r="P120" s="18">
        <f>(H120-F120)*100</f>
        <v/>
      </c>
      <c r="Q120" s="20">
        <f>(P120-$D$11)/$E$11</f>
        <v/>
      </c>
      <c r="R120" s="18">
        <f>(J120-F120)*100</f>
        <v/>
      </c>
      <c r="S120" s="20">
        <f>(R120-$D$12)/$E$12</f>
        <v/>
      </c>
      <c r="T120" s="18">
        <f>(H120-B120)*100</f>
        <v/>
      </c>
      <c r="U120" s="20">
        <f>(T120-$D$13)/$E$13</f>
        <v/>
      </c>
      <c r="V120" s="18">
        <f>(H120-D120)*100</f>
        <v/>
      </c>
      <c r="W120" s="20">
        <f>(V120-$D$14)/$E$14</f>
        <v/>
      </c>
      <c r="X120" s="18">
        <f>(J120-H120)*100</f>
        <v/>
      </c>
      <c r="Y120" s="20">
        <f>(X120-$D$15)/$E$15</f>
        <v/>
      </c>
      <c r="Z120" s="18">
        <f>(J120-B120)*100</f>
        <v/>
      </c>
      <c r="AA120" s="20">
        <f>(Z120-$D$16)/$E$16</f>
        <v/>
      </c>
      <c r="AB120" s="18">
        <f>(2*F120-B120-H120)*100</f>
        <v/>
      </c>
      <c r="AC120" s="20">
        <f>(AB120-$D$17)/$E$17</f>
        <v/>
      </c>
      <c r="AD120" s="18">
        <f>L120-L121</f>
        <v/>
      </c>
      <c r="AE120" s="18">
        <f>N120-N121</f>
        <v/>
      </c>
      <c r="AF120" s="18">
        <f>P120-P121</f>
        <v/>
      </c>
      <c r="AG120" s="18">
        <f>R120-R121</f>
        <v/>
      </c>
      <c r="AH120" s="18">
        <f>T120-T121</f>
        <v/>
      </c>
      <c r="AI120" s="18">
        <f>V120-V121</f>
        <v/>
      </c>
      <c r="AJ120" s="18">
        <f>X120-X121</f>
        <v/>
      </c>
      <c r="AK120" s="18">
        <f>Z120-Z121</f>
        <v/>
      </c>
      <c r="AL120" s="18">
        <f>AB120-AB121</f>
        <v/>
      </c>
    </row>
    <row r="121">
      <c r="A121" s="16" t="n">
        <v>46129</v>
      </c>
      <c r="B121" s="17" t="n">
        <v>3.71</v>
      </c>
      <c r="C121" s="18">
        <f>(B121-B122)*100</f>
        <v/>
      </c>
      <c r="D121" s="17" t="n">
        <v>3.72</v>
      </c>
      <c r="E121" s="18">
        <f>(D121-D122)*100</f>
        <v/>
      </c>
      <c r="F121" s="17" t="n">
        <v>3.84</v>
      </c>
      <c r="G121" s="18">
        <f>(F121-F122)*100</f>
        <v/>
      </c>
      <c r="H121" s="17" t="n">
        <v>4.26</v>
      </c>
      <c r="I121" s="18">
        <f>(H121-H122)*100</f>
        <v/>
      </c>
      <c r="J121" s="17" t="n">
        <v>4.88</v>
      </c>
      <c r="K121" s="18">
        <f>(J121-J122)*100</f>
        <v/>
      </c>
      <c r="L121" s="18">
        <f>(F121-B121)*100</f>
        <v/>
      </c>
      <c r="M121" s="20">
        <f>(L121-$D$9)/$E$9</f>
        <v/>
      </c>
      <c r="N121" s="18">
        <f>(F121-D121)*100</f>
        <v/>
      </c>
      <c r="O121" s="20">
        <f>(N121-$D$10)/$E$10</f>
        <v/>
      </c>
      <c r="P121" s="18">
        <f>(H121-F121)*100</f>
        <v/>
      </c>
      <c r="Q121" s="20">
        <f>(P121-$D$11)/$E$11</f>
        <v/>
      </c>
      <c r="R121" s="18">
        <f>(J121-F121)*100</f>
        <v/>
      </c>
      <c r="S121" s="20">
        <f>(R121-$D$12)/$E$12</f>
        <v/>
      </c>
      <c r="T121" s="18">
        <f>(H121-B121)*100</f>
        <v/>
      </c>
      <c r="U121" s="20">
        <f>(T121-$D$13)/$E$13</f>
        <v/>
      </c>
      <c r="V121" s="18">
        <f>(H121-D121)*100</f>
        <v/>
      </c>
      <c r="W121" s="20">
        <f>(V121-$D$14)/$E$14</f>
        <v/>
      </c>
      <c r="X121" s="18">
        <f>(J121-H121)*100</f>
        <v/>
      </c>
      <c r="Y121" s="20">
        <f>(X121-$D$15)/$E$15</f>
        <v/>
      </c>
      <c r="Z121" s="18">
        <f>(J121-B121)*100</f>
        <v/>
      </c>
      <c r="AA121" s="20">
        <f>(Z121-$D$16)/$E$16</f>
        <v/>
      </c>
      <c r="AB121" s="18">
        <f>(2*F121-B121-H121)*100</f>
        <v/>
      </c>
      <c r="AC121" s="20">
        <f>(AB121-$D$17)/$E$17</f>
        <v/>
      </c>
      <c r="AD121" s="18">
        <f>L121-L122</f>
        <v/>
      </c>
      <c r="AE121" s="18">
        <f>N121-N122</f>
        <v/>
      </c>
      <c r="AF121" s="18">
        <f>P121-P122</f>
        <v/>
      </c>
      <c r="AG121" s="18">
        <f>R121-R122</f>
        <v/>
      </c>
      <c r="AH121" s="18">
        <f>T121-T122</f>
        <v/>
      </c>
      <c r="AI121" s="18">
        <f>V121-V122</f>
        <v/>
      </c>
      <c r="AJ121" s="18">
        <f>X121-X122</f>
        <v/>
      </c>
      <c r="AK121" s="18">
        <f>Z121-Z122</f>
        <v/>
      </c>
      <c r="AL121" s="18">
        <f>AB121-AB122</f>
        <v/>
      </c>
    </row>
    <row r="122">
      <c r="A122" s="16" t="n">
        <v>46128</v>
      </c>
      <c r="B122" s="17" t="n">
        <v>3.78</v>
      </c>
      <c r="C122" s="18">
        <f>(B122-B123)*100</f>
        <v/>
      </c>
      <c r="D122" s="17" t="n">
        <v>3.8</v>
      </c>
      <c r="E122" s="18">
        <f>(D122-D123)*100</f>
        <v/>
      </c>
      <c r="F122" s="17" t="n">
        <v>3.91</v>
      </c>
      <c r="G122" s="18">
        <f>(F122-F123)*100</f>
        <v/>
      </c>
      <c r="H122" s="17" t="n">
        <v>4.32</v>
      </c>
      <c r="I122" s="18">
        <f>(H122-H123)*100</f>
        <v/>
      </c>
      <c r="J122" s="17" t="n">
        <v>4.93</v>
      </c>
      <c r="K122" s="18">
        <f>(J122-J123)*100</f>
        <v/>
      </c>
      <c r="L122" s="18">
        <f>(F122-B122)*100</f>
        <v/>
      </c>
      <c r="M122" s="20">
        <f>(L122-$D$9)/$E$9</f>
        <v/>
      </c>
      <c r="N122" s="18">
        <f>(F122-D122)*100</f>
        <v/>
      </c>
      <c r="O122" s="20">
        <f>(N122-$D$10)/$E$10</f>
        <v/>
      </c>
      <c r="P122" s="18">
        <f>(H122-F122)*100</f>
        <v/>
      </c>
      <c r="Q122" s="20">
        <f>(P122-$D$11)/$E$11</f>
        <v/>
      </c>
      <c r="R122" s="18">
        <f>(J122-F122)*100</f>
        <v/>
      </c>
      <c r="S122" s="20">
        <f>(R122-$D$12)/$E$12</f>
        <v/>
      </c>
      <c r="T122" s="18">
        <f>(H122-B122)*100</f>
        <v/>
      </c>
      <c r="U122" s="20">
        <f>(T122-$D$13)/$E$13</f>
        <v/>
      </c>
      <c r="V122" s="18">
        <f>(H122-D122)*100</f>
        <v/>
      </c>
      <c r="W122" s="20">
        <f>(V122-$D$14)/$E$14</f>
        <v/>
      </c>
      <c r="X122" s="18">
        <f>(J122-H122)*100</f>
        <v/>
      </c>
      <c r="Y122" s="20">
        <f>(X122-$D$15)/$E$15</f>
        <v/>
      </c>
      <c r="Z122" s="18">
        <f>(J122-B122)*100</f>
        <v/>
      </c>
      <c r="AA122" s="20">
        <f>(Z122-$D$16)/$E$16</f>
        <v/>
      </c>
      <c r="AB122" s="18">
        <f>(2*F122-B122-H122)*100</f>
        <v/>
      </c>
      <c r="AC122" s="20">
        <f>(AB122-$D$17)/$E$17</f>
        <v/>
      </c>
      <c r="AD122" s="18">
        <f>L122-L123</f>
        <v/>
      </c>
      <c r="AE122" s="18">
        <f>N122-N123</f>
        <v/>
      </c>
      <c r="AF122" s="18">
        <f>P122-P123</f>
        <v/>
      </c>
      <c r="AG122" s="18">
        <f>R122-R123</f>
        <v/>
      </c>
      <c r="AH122" s="18">
        <f>T122-T123</f>
        <v/>
      </c>
      <c r="AI122" s="18">
        <f>V122-V123</f>
        <v/>
      </c>
      <c r="AJ122" s="18">
        <f>X122-X123</f>
        <v/>
      </c>
      <c r="AK122" s="18">
        <f>Z122-Z123</f>
        <v/>
      </c>
      <c r="AL122" s="18">
        <f>AB122-AB123</f>
        <v/>
      </c>
    </row>
    <row r="123">
      <c r="A123" s="16" t="n">
        <v>46127</v>
      </c>
      <c r="B123" s="17" t="n">
        <v>3.76</v>
      </c>
      <c r="C123" s="18">
        <f>(B123-B124)*100</f>
        <v/>
      </c>
      <c r="D123" s="17" t="n">
        <v>3.79</v>
      </c>
      <c r="E123" s="18">
        <f>(D123-D124)*100</f>
        <v/>
      </c>
      <c r="F123" s="17" t="n">
        <v>3.9</v>
      </c>
      <c r="G123" s="18">
        <f>(F123-F124)*100</f>
        <v/>
      </c>
      <c r="H123" s="17" t="n">
        <v>4.29</v>
      </c>
      <c r="I123" s="18">
        <f>(H123-H124)*100</f>
        <v/>
      </c>
      <c r="J123" s="17" t="n">
        <v>4.89</v>
      </c>
      <c r="K123" s="18">
        <f>(J123-J124)*100</f>
        <v/>
      </c>
      <c r="L123" s="18">
        <f>(F123-B123)*100</f>
        <v/>
      </c>
      <c r="M123" s="20">
        <f>(L123-$D$9)/$E$9</f>
        <v/>
      </c>
      <c r="N123" s="18">
        <f>(F123-D123)*100</f>
        <v/>
      </c>
      <c r="O123" s="20">
        <f>(N123-$D$10)/$E$10</f>
        <v/>
      </c>
      <c r="P123" s="18">
        <f>(H123-F123)*100</f>
        <v/>
      </c>
      <c r="Q123" s="20">
        <f>(P123-$D$11)/$E$11</f>
        <v/>
      </c>
      <c r="R123" s="18">
        <f>(J123-F123)*100</f>
        <v/>
      </c>
      <c r="S123" s="20">
        <f>(R123-$D$12)/$E$12</f>
        <v/>
      </c>
      <c r="T123" s="18">
        <f>(H123-B123)*100</f>
        <v/>
      </c>
      <c r="U123" s="20">
        <f>(T123-$D$13)/$E$13</f>
        <v/>
      </c>
      <c r="V123" s="18">
        <f>(H123-D123)*100</f>
        <v/>
      </c>
      <c r="W123" s="20">
        <f>(V123-$D$14)/$E$14</f>
        <v/>
      </c>
      <c r="X123" s="18">
        <f>(J123-H123)*100</f>
        <v/>
      </c>
      <c r="Y123" s="20">
        <f>(X123-$D$15)/$E$15</f>
        <v/>
      </c>
      <c r="Z123" s="18">
        <f>(J123-B123)*100</f>
        <v/>
      </c>
      <c r="AA123" s="20">
        <f>(Z123-$D$16)/$E$16</f>
        <v/>
      </c>
      <c r="AB123" s="18">
        <f>(2*F123-B123-H123)*100</f>
        <v/>
      </c>
      <c r="AC123" s="20">
        <f>(AB123-$D$17)/$E$17</f>
        <v/>
      </c>
      <c r="AD123" s="18">
        <f>L123-L124</f>
        <v/>
      </c>
      <c r="AE123" s="18">
        <f>N123-N124</f>
        <v/>
      </c>
      <c r="AF123" s="18">
        <f>P123-P124</f>
        <v/>
      </c>
      <c r="AG123" s="18">
        <f>R123-R124</f>
        <v/>
      </c>
      <c r="AH123" s="18">
        <f>T123-T124</f>
        <v/>
      </c>
      <c r="AI123" s="18">
        <f>V123-V124</f>
        <v/>
      </c>
      <c r="AJ123" s="18">
        <f>X123-X124</f>
        <v/>
      </c>
      <c r="AK123" s="18">
        <f>Z123-Z124</f>
        <v/>
      </c>
      <c r="AL123" s="18">
        <f>AB123-AB124</f>
        <v/>
      </c>
    </row>
    <row r="124">
      <c r="A124" s="16" t="n">
        <v>46126</v>
      </c>
      <c r="B124" s="17" t="n">
        <v>3.76</v>
      </c>
      <c r="C124" s="18">
        <f>(B124-B125)*100</f>
        <v/>
      </c>
      <c r="D124" s="17" t="n">
        <v>3.76</v>
      </c>
      <c r="E124" s="18">
        <f>(D124-D125)*100</f>
        <v/>
      </c>
      <c r="F124" s="17" t="n">
        <v>3.87</v>
      </c>
      <c r="G124" s="18">
        <f>(F124-F125)*100</f>
        <v/>
      </c>
      <c r="H124" s="17" t="n">
        <v>4.26</v>
      </c>
      <c r="I124" s="18">
        <f>(H124-H125)*100</f>
        <v/>
      </c>
      <c r="J124" s="17" t="n">
        <v>4.87</v>
      </c>
      <c r="K124" s="18">
        <f>(J124-J125)*100</f>
        <v/>
      </c>
      <c r="L124" s="18">
        <f>(F124-B124)*100</f>
        <v/>
      </c>
      <c r="M124" s="20">
        <f>(L124-$D$9)/$E$9</f>
        <v/>
      </c>
      <c r="N124" s="18">
        <f>(F124-D124)*100</f>
        <v/>
      </c>
      <c r="O124" s="20">
        <f>(N124-$D$10)/$E$10</f>
        <v/>
      </c>
      <c r="P124" s="18">
        <f>(H124-F124)*100</f>
        <v/>
      </c>
      <c r="Q124" s="20">
        <f>(P124-$D$11)/$E$11</f>
        <v/>
      </c>
      <c r="R124" s="18">
        <f>(J124-F124)*100</f>
        <v/>
      </c>
      <c r="S124" s="20">
        <f>(R124-$D$12)/$E$12</f>
        <v/>
      </c>
      <c r="T124" s="18">
        <f>(H124-B124)*100</f>
        <v/>
      </c>
      <c r="U124" s="20">
        <f>(T124-$D$13)/$E$13</f>
        <v/>
      </c>
      <c r="V124" s="18">
        <f>(H124-D124)*100</f>
        <v/>
      </c>
      <c r="W124" s="20">
        <f>(V124-$D$14)/$E$14</f>
        <v/>
      </c>
      <c r="X124" s="18">
        <f>(J124-H124)*100</f>
        <v/>
      </c>
      <c r="Y124" s="20">
        <f>(X124-$D$15)/$E$15</f>
        <v/>
      </c>
      <c r="Z124" s="18">
        <f>(J124-B124)*100</f>
        <v/>
      </c>
      <c r="AA124" s="20">
        <f>(Z124-$D$16)/$E$16</f>
        <v/>
      </c>
      <c r="AB124" s="18">
        <f>(2*F124-B124-H124)*100</f>
        <v/>
      </c>
      <c r="AC124" s="20">
        <f>(AB124-$D$17)/$E$17</f>
        <v/>
      </c>
      <c r="AD124" s="18">
        <f>L124-L125</f>
        <v/>
      </c>
      <c r="AE124" s="18">
        <f>N124-N125</f>
        <v/>
      </c>
      <c r="AF124" s="18">
        <f>P124-P125</f>
        <v/>
      </c>
      <c r="AG124" s="18">
        <f>R124-R125</f>
        <v/>
      </c>
      <c r="AH124" s="18">
        <f>T124-T125</f>
        <v/>
      </c>
      <c r="AI124" s="18">
        <f>V124-V125</f>
        <v/>
      </c>
      <c r="AJ124" s="18">
        <f>X124-X125</f>
        <v/>
      </c>
      <c r="AK124" s="18">
        <f>Z124-Z125</f>
        <v/>
      </c>
      <c r="AL124" s="18">
        <f>AB124-AB125</f>
        <v/>
      </c>
    </row>
    <row r="125">
      <c r="A125" s="16" t="n">
        <v>46125</v>
      </c>
      <c r="B125" s="17" t="n">
        <v>3.78</v>
      </c>
      <c r="C125" s="18">
        <f>(B125-B126)*100</f>
        <v/>
      </c>
      <c r="D125" s="17" t="n">
        <v>3.79</v>
      </c>
      <c r="E125" s="18">
        <f>(D125-D126)*100</f>
        <v/>
      </c>
      <c r="F125" s="17" t="n">
        <v>3.92</v>
      </c>
      <c r="G125" s="18">
        <f>(F125-F126)*100</f>
        <v/>
      </c>
      <c r="H125" s="17" t="n">
        <v>4.3</v>
      </c>
      <c r="I125" s="18">
        <f>(H125-H126)*100</f>
        <v/>
      </c>
      <c r="J125" s="17" t="n">
        <v>4.9</v>
      </c>
      <c r="K125" s="18">
        <f>(J125-J126)*100</f>
        <v/>
      </c>
      <c r="L125" s="18">
        <f>(F125-B125)*100</f>
        <v/>
      </c>
      <c r="M125" s="20">
        <f>(L125-$D$9)/$E$9</f>
        <v/>
      </c>
      <c r="N125" s="18">
        <f>(F125-D125)*100</f>
        <v/>
      </c>
      <c r="O125" s="20">
        <f>(N125-$D$10)/$E$10</f>
        <v/>
      </c>
      <c r="P125" s="18">
        <f>(H125-F125)*100</f>
        <v/>
      </c>
      <c r="Q125" s="20">
        <f>(P125-$D$11)/$E$11</f>
        <v/>
      </c>
      <c r="R125" s="18">
        <f>(J125-F125)*100</f>
        <v/>
      </c>
      <c r="S125" s="20">
        <f>(R125-$D$12)/$E$12</f>
        <v/>
      </c>
      <c r="T125" s="18">
        <f>(H125-B125)*100</f>
        <v/>
      </c>
      <c r="U125" s="20">
        <f>(T125-$D$13)/$E$13</f>
        <v/>
      </c>
      <c r="V125" s="18">
        <f>(H125-D125)*100</f>
        <v/>
      </c>
      <c r="W125" s="20">
        <f>(V125-$D$14)/$E$14</f>
        <v/>
      </c>
      <c r="X125" s="18">
        <f>(J125-H125)*100</f>
        <v/>
      </c>
      <c r="Y125" s="20">
        <f>(X125-$D$15)/$E$15</f>
        <v/>
      </c>
      <c r="Z125" s="18">
        <f>(J125-B125)*100</f>
        <v/>
      </c>
      <c r="AA125" s="20">
        <f>(Z125-$D$16)/$E$16</f>
        <v/>
      </c>
      <c r="AB125" s="18">
        <f>(2*F125-B125-H125)*100</f>
        <v/>
      </c>
      <c r="AC125" s="20">
        <f>(AB125-$D$17)/$E$17</f>
        <v/>
      </c>
      <c r="AD125" s="18">
        <f>L125-L126</f>
        <v/>
      </c>
      <c r="AE125" s="18">
        <f>N125-N126</f>
        <v/>
      </c>
      <c r="AF125" s="18">
        <f>P125-P126</f>
        <v/>
      </c>
      <c r="AG125" s="18">
        <f>R125-R126</f>
        <v/>
      </c>
      <c r="AH125" s="18">
        <f>T125-T126</f>
        <v/>
      </c>
      <c r="AI125" s="18">
        <f>V125-V126</f>
        <v/>
      </c>
      <c r="AJ125" s="18">
        <f>X125-X126</f>
        <v/>
      </c>
      <c r="AK125" s="18">
        <f>Z125-Z126</f>
        <v/>
      </c>
      <c r="AL125" s="18">
        <f>AB125-AB126</f>
        <v/>
      </c>
    </row>
    <row r="126">
      <c r="A126" s="16" t="n">
        <v>46122</v>
      </c>
      <c r="B126" s="17" t="n">
        <v>3.81</v>
      </c>
      <c r="C126" s="18">
        <f>(B126-B127)*100</f>
        <v/>
      </c>
      <c r="D126" s="17" t="n">
        <v>3.8</v>
      </c>
      <c r="E126" s="18">
        <f>(D126-D127)*100</f>
        <v/>
      </c>
      <c r="F126" s="17" t="n">
        <v>3.94</v>
      </c>
      <c r="G126" s="18">
        <f>(F126-F127)*100</f>
        <v/>
      </c>
      <c r="H126" s="17" t="n">
        <v>4.31</v>
      </c>
      <c r="I126" s="18">
        <f>(H126-H127)*100</f>
        <v/>
      </c>
      <c r="J126" s="17" t="n">
        <v>4.91</v>
      </c>
      <c r="K126" s="18">
        <f>(J126-J127)*100</f>
        <v/>
      </c>
      <c r="L126" s="18">
        <f>(F126-B126)*100</f>
        <v/>
      </c>
      <c r="M126" s="20">
        <f>(L126-$D$9)/$E$9</f>
        <v/>
      </c>
      <c r="N126" s="18">
        <f>(F126-D126)*100</f>
        <v/>
      </c>
      <c r="O126" s="20">
        <f>(N126-$D$10)/$E$10</f>
        <v/>
      </c>
      <c r="P126" s="18">
        <f>(H126-F126)*100</f>
        <v/>
      </c>
      <c r="Q126" s="20">
        <f>(P126-$D$11)/$E$11</f>
        <v/>
      </c>
      <c r="R126" s="18">
        <f>(J126-F126)*100</f>
        <v/>
      </c>
      <c r="S126" s="20">
        <f>(R126-$D$12)/$E$12</f>
        <v/>
      </c>
      <c r="T126" s="18">
        <f>(H126-B126)*100</f>
        <v/>
      </c>
      <c r="U126" s="20">
        <f>(T126-$D$13)/$E$13</f>
        <v/>
      </c>
      <c r="V126" s="18">
        <f>(H126-D126)*100</f>
        <v/>
      </c>
      <c r="W126" s="20">
        <f>(V126-$D$14)/$E$14</f>
        <v/>
      </c>
      <c r="X126" s="18">
        <f>(J126-H126)*100</f>
        <v/>
      </c>
      <c r="Y126" s="20">
        <f>(X126-$D$15)/$E$15</f>
        <v/>
      </c>
      <c r="Z126" s="18">
        <f>(J126-B126)*100</f>
        <v/>
      </c>
      <c r="AA126" s="20">
        <f>(Z126-$D$16)/$E$16</f>
        <v/>
      </c>
      <c r="AB126" s="18">
        <f>(2*F126-B126-H126)*100</f>
        <v/>
      </c>
      <c r="AC126" s="20">
        <f>(AB126-$D$17)/$E$17</f>
        <v/>
      </c>
      <c r="AD126" s="18">
        <f>L126-L127</f>
        <v/>
      </c>
      <c r="AE126" s="18">
        <f>N126-N127</f>
        <v/>
      </c>
      <c r="AF126" s="18">
        <f>P126-P127</f>
        <v/>
      </c>
      <c r="AG126" s="18">
        <f>R126-R127</f>
        <v/>
      </c>
      <c r="AH126" s="18">
        <f>T126-T127</f>
        <v/>
      </c>
      <c r="AI126" s="18">
        <f>V126-V127</f>
        <v/>
      </c>
      <c r="AJ126" s="18">
        <f>X126-X127</f>
        <v/>
      </c>
      <c r="AK126" s="18">
        <f>Z126-Z127</f>
        <v/>
      </c>
      <c r="AL126" s="18">
        <f>AB126-AB127</f>
        <v/>
      </c>
    </row>
    <row r="127">
      <c r="A127" s="16" t="n">
        <v>46121</v>
      </c>
      <c r="B127" s="17" t="n">
        <v>3.78</v>
      </c>
      <c r="C127" s="18">
        <f>(B127-B128)*100</f>
        <v/>
      </c>
      <c r="D127" s="17" t="n">
        <v>3.77</v>
      </c>
      <c r="E127" s="18">
        <f>(D127-D128)*100</f>
        <v/>
      </c>
      <c r="F127" s="17" t="n">
        <v>3.91</v>
      </c>
      <c r="G127" s="18">
        <f>(F127-F128)*100</f>
        <v/>
      </c>
      <c r="H127" s="17" t="n">
        <v>4.29</v>
      </c>
      <c r="I127" s="18">
        <f>(H127-H128)*100</f>
        <v/>
      </c>
      <c r="J127" s="17" t="n">
        <v>4.9</v>
      </c>
      <c r="K127" s="18">
        <f>(J127-J128)*100</f>
        <v/>
      </c>
      <c r="L127" s="18">
        <f>(F127-B127)*100</f>
        <v/>
      </c>
      <c r="M127" s="20">
        <f>(L127-$D$9)/$E$9</f>
        <v/>
      </c>
      <c r="N127" s="18">
        <f>(F127-D127)*100</f>
        <v/>
      </c>
      <c r="O127" s="20">
        <f>(N127-$D$10)/$E$10</f>
        <v/>
      </c>
      <c r="P127" s="18">
        <f>(H127-F127)*100</f>
        <v/>
      </c>
      <c r="Q127" s="20">
        <f>(P127-$D$11)/$E$11</f>
        <v/>
      </c>
      <c r="R127" s="18">
        <f>(J127-F127)*100</f>
        <v/>
      </c>
      <c r="S127" s="20">
        <f>(R127-$D$12)/$E$12</f>
        <v/>
      </c>
      <c r="T127" s="18">
        <f>(H127-B127)*100</f>
        <v/>
      </c>
      <c r="U127" s="20">
        <f>(T127-$D$13)/$E$13</f>
        <v/>
      </c>
      <c r="V127" s="18">
        <f>(H127-D127)*100</f>
        <v/>
      </c>
      <c r="W127" s="20">
        <f>(V127-$D$14)/$E$14</f>
        <v/>
      </c>
      <c r="X127" s="18">
        <f>(J127-H127)*100</f>
        <v/>
      </c>
      <c r="Y127" s="20">
        <f>(X127-$D$15)/$E$15</f>
        <v/>
      </c>
      <c r="Z127" s="18">
        <f>(J127-B127)*100</f>
        <v/>
      </c>
      <c r="AA127" s="20">
        <f>(Z127-$D$16)/$E$16</f>
        <v/>
      </c>
      <c r="AB127" s="18">
        <f>(2*F127-B127-H127)*100</f>
        <v/>
      </c>
      <c r="AC127" s="20">
        <f>(AB127-$D$17)/$E$17</f>
        <v/>
      </c>
      <c r="AD127" s="18">
        <f>L127-L128</f>
        <v/>
      </c>
      <c r="AE127" s="18">
        <f>N127-N128</f>
        <v/>
      </c>
      <c r="AF127" s="18">
        <f>P127-P128</f>
        <v/>
      </c>
      <c r="AG127" s="18">
        <f>R127-R128</f>
        <v/>
      </c>
      <c r="AH127" s="18">
        <f>T127-T128</f>
        <v/>
      </c>
      <c r="AI127" s="18">
        <f>V127-V128</f>
        <v/>
      </c>
      <c r="AJ127" s="18">
        <f>X127-X128</f>
        <v/>
      </c>
      <c r="AK127" s="18">
        <f>Z127-Z128</f>
        <v/>
      </c>
      <c r="AL127" s="18">
        <f>AB127-AB128</f>
        <v/>
      </c>
    </row>
    <row r="128">
      <c r="A128" s="16" t="n">
        <v>46120</v>
      </c>
      <c r="B128" s="17" t="n">
        <v>3.79</v>
      </c>
      <c r="C128" s="18">
        <f>(B128-B129)*100</f>
        <v/>
      </c>
      <c r="D128" s="17" t="n">
        <v>3.78</v>
      </c>
      <c r="E128" s="18">
        <f>(D128-D129)*100</f>
        <v/>
      </c>
      <c r="F128" s="17" t="n">
        <v>3.92</v>
      </c>
      <c r="G128" s="18">
        <f>(F128-F129)*100</f>
        <v/>
      </c>
      <c r="H128" s="17" t="n">
        <v>4.29</v>
      </c>
      <c r="I128" s="18">
        <f>(H128-H129)*100</f>
        <v/>
      </c>
      <c r="J128" s="17" t="n">
        <v>4.89</v>
      </c>
      <c r="K128" s="18">
        <f>(J128-J129)*100</f>
        <v/>
      </c>
      <c r="L128" s="18">
        <f>(F128-B128)*100</f>
        <v/>
      </c>
      <c r="M128" s="20">
        <f>(L128-$D$9)/$E$9</f>
        <v/>
      </c>
      <c r="N128" s="18">
        <f>(F128-D128)*100</f>
        <v/>
      </c>
      <c r="O128" s="20">
        <f>(N128-$D$10)/$E$10</f>
        <v/>
      </c>
      <c r="P128" s="18">
        <f>(H128-F128)*100</f>
        <v/>
      </c>
      <c r="Q128" s="20">
        <f>(P128-$D$11)/$E$11</f>
        <v/>
      </c>
      <c r="R128" s="18">
        <f>(J128-F128)*100</f>
        <v/>
      </c>
      <c r="S128" s="20">
        <f>(R128-$D$12)/$E$12</f>
        <v/>
      </c>
      <c r="T128" s="18">
        <f>(H128-B128)*100</f>
        <v/>
      </c>
      <c r="U128" s="20">
        <f>(T128-$D$13)/$E$13</f>
        <v/>
      </c>
      <c r="V128" s="18">
        <f>(H128-D128)*100</f>
        <v/>
      </c>
      <c r="W128" s="20">
        <f>(V128-$D$14)/$E$14</f>
        <v/>
      </c>
      <c r="X128" s="18">
        <f>(J128-H128)*100</f>
        <v/>
      </c>
      <c r="Y128" s="20">
        <f>(X128-$D$15)/$E$15</f>
        <v/>
      </c>
      <c r="Z128" s="18">
        <f>(J128-B128)*100</f>
        <v/>
      </c>
      <c r="AA128" s="20">
        <f>(Z128-$D$16)/$E$16</f>
        <v/>
      </c>
      <c r="AB128" s="18">
        <f>(2*F128-B128-H128)*100</f>
        <v/>
      </c>
      <c r="AC128" s="20">
        <f>(AB128-$D$17)/$E$17</f>
        <v/>
      </c>
      <c r="AD128" s="18">
        <f>L128-L129</f>
        <v/>
      </c>
      <c r="AE128" s="18">
        <f>N128-N129</f>
        <v/>
      </c>
      <c r="AF128" s="18">
        <f>P128-P129</f>
        <v/>
      </c>
      <c r="AG128" s="18">
        <f>R128-R129</f>
        <v/>
      </c>
      <c r="AH128" s="18">
        <f>T128-T129</f>
        <v/>
      </c>
      <c r="AI128" s="18">
        <f>V128-V129</f>
        <v/>
      </c>
      <c r="AJ128" s="18">
        <f>X128-X129</f>
        <v/>
      </c>
      <c r="AK128" s="18">
        <f>Z128-Z129</f>
        <v/>
      </c>
      <c r="AL128" s="18">
        <f>AB128-AB129</f>
        <v/>
      </c>
    </row>
    <row r="129">
      <c r="A129" s="16" t="n">
        <v>46119</v>
      </c>
      <c r="B129" s="17" t="n">
        <v>3.81</v>
      </c>
      <c r="C129" s="18">
        <f>(B129-B130)*100</f>
        <v/>
      </c>
      <c r="D129" s="17" t="n">
        <v>3.82</v>
      </c>
      <c r="E129" s="18">
        <f>(D129-D130)*100</f>
        <v/>
      </c>
      <c r="F129" s="17" t="n">
        <v>3.95</v>
      </c>
      <c r="G129" s="18">
        <f>(F129-F130)*100</f>
        <v/>
      </c>
      <c r="H129" s="17" t="n">
        <v>4.33</v>
      </c>
      <c r="I129" s="18">
        <f>(H129-H130)*100</f>
        <v/>
      </c>
      <c r="J129" s="17" t="n">
        <v>4.9</v>
      </c>
      <c r="K129" s="18">
        <f>(J129-J130)*100</f>
        <v/>
      </c>
      <c r="L129" s="18">
        <f>(F129-B129)*100</f>
        <v/>
      </c>
      <c r="M129" s="20">
        <f>(L129-$D$9)/$E$9</f>
        <v/>
      </c>
      <c r="N129" s="18">
        <f>(F129-D129)*100</f>
        <v/>
      </c>
      <c r="O129" s="20">
        <f>(N129-$D$10)/$E$10</f>
        <v/>
      </c>
      <c r="P129" s="18">
        <f>(H129-F129)*100</f>
        <v/>
      </c>
      <c r="Q129" s="20">
        <f>(P129-$D$11)/$E$11</f>
        <v/>
      </c>
      <c r="R129" s="18">
        <f>(J129-F129)*100</f>
        <v/>
      </c>
      <c r="S129" s="20">
        <f>(R129-$D$12)/$E$12</f>
        <v/>
      </c>
      <c r="T129" s="18">
        <f>(H129-B129)*100</f>
        <v/>
      </c>
      <c r="U129" s="20">
        <f>(T129-$D$13)/$E$13</f>
        <v/>
      </c>
      <c r="V129" s="18">
        <f>(H129-D129)*100</f>
        <v/>
      </c>
      <c r="W129" s="20">
        <f>(V129-$D$14)/$E$14</f>
        <v/>
      </c>
      <c r="X129" s="18">
        <f>(J129-H129)*100</f>
        <v/>
      </c>
      <c r="Y129" s="20">
        <f>(X129-$D$15)/$E$15</f>
        <v/>
      </c>
      <c r="Z129" s="18">
        <f>(J129-B129)*100</f>
        <v/>
      </c>
      <c r="AA129" s="20">
        <f>(Z129-$D$16)/$E$16</f>
        <v/>
      </c>
      <c r="AB129" s="18">
        <f>(2*F129-B129-H129)*100</f>
        <v/>
      </c>
      <c r="AC129" s="20">
        <f>(AB129-$D$17)/$E$17</f>
        <v/>
      </c>
      <c r="AD129" s="18">
        <f>L129-L130</f>
        <v/>
      </c>
      <c r="AE129" s="18">
        <f>N129-N130</f>
        <v/>
      </c>
      <c r="AF129" s="18">
        <f>P129-P130</f>
        <v/>
      </c>
      <c r="AG129" s="18">
        <f>R129-R130</f>
        <v/>
      </c>
      <c r="AH129" s="18">
        <f>T129-T130</f>
        <v/>
      </c>
      <c r="AI129" s="18">
        <f>V129-V130</f>
        <v/>
      </c>
      <c r="AJ129" s="18">
        <f>X129-X130</f>
        <v/>
      </c>
      <c r="AK129" s="18">
        <f>Z129-Z130</f>
        <v/>
      </c>
      <c r="AL129" s="18">
        <f>AB129-AB130</f>
        <v/>
      </c>
    </row>
    <row r="130">
      <c r="A130" s="16" t="n">
        <v>46118</v>
      </c>
      <c r="B130" s="17" t="n">
        <v>3.84</v>
      </c>
      <c r="C130" s="18">
        <f>(B130-B131)*100</f>
        <v/>
      </c>
      <c r="D130" s="17" t="n">
        <v>3.88</v>
      </c>
      <c r="E130" s="18">
        <f>(D130-D131)*100</f>
        <v/>
      </c>
      <c r="F130" s="17" t="n">
        <v>3.98</v>
      </c>
      <c r="G130" s="18">
        <f>(F130-F131)*100</f>
        <v/>
      </c>
      <c r="H130" s="17" t="n">
        <v>4.34</v>
      </c>
      <c r="I130" s="18">
        <f>(H130-H131)*100</f>
        <v/>
      </c>
      <c r="J130" s="17" t="n">
        <v>4.89</v>
      </c>
      <c r="K130" s="18">
        <f>(J130-J131)*100</f>
        <v/>
      </c>
      <c r="L130" s="18">
        <f>(F130-B130)*100</f>
        <v/>
      </c>
      <c r="M130" s="20">
        <f>(L130-$D$9)/$E$9</f>
        <v/>
      </c>
      <c r="N130" s="18">
        <f>(F130-D130)*100</f>
        <v/>
      </c>
      <c r="O130" s="20">
        <f>(N130-$D$10)/$E$10</f>
        <v/>
      </c>
      <c r="P130" s="18">
        <f>(H130-F130)*100</f>
        <v/>
      </c>
      <c r="Q130" s="20">
        <f>(P130-$D$11)/$E$11</f>
        <v/>
      </c>
      <c r="R130" s="18">
        <f>(J130-F130)*100</f>
        <v/>
      </c>
      <c r="S130" s="20">
        <f>(R130-$D$12)/$E$12</f>
        <v/>
      </c>
      <c r="T130" s="18">
        <f>(H130-B130)*100</f>
        <v/>
      </c>
      <c r="U130" s="20">
        <f>(T130-$D$13)/$E$13</f>
        <v/>
      </c>
      <c r="V130" s="18">
        <f>(H130-D130)*100</f>
        <v/>
      </c>
      <c r="W130" s="20">
        <f>(V130-$D$14)/$E$14</f>
        <v/>
      </c>
      <c r="X130" s="18">
        <f>(J130-H130)*100</f>
        <v/>
      </c>
      <c r="Y130" s="20">
        <f>(X130-$D$15)/$E$15</f>
        <v/>
      </c>
      <c r="Z130" s="18">
        <f>(J130-B130)*100</f>
        <v/>
      </c>
      <c r="AA130" s="20">
        <f>(Z130-$D$16)/$E$16</f>
        <v/>
      </c>
      <c r="AB130" s="18">
        <f>(2*F130-B130-H130)*100</f>
        <v/>
      </c>
      <c r="AC130" s="20">
        <f>(AB130-$D$17)/$E$17</f>
        <v/>
      </c>
      <c r="AD130" s="18">
        <f>L130-L131</f>
        <v/>
      </c>
      <c r="AE130" s="18">
        <f>N130-N131</f>
        <v/>
      </c>
      <c r="AF130" s="18">
        <f>P130-P131</f>
        <v/>
      </c>
      <c r="AG130" s="18">
        <f>R130-R131</f>
        <v/>
      </c>
      <c r="AH130" s="18">
        <f>T130-T131</f>
        <v/>
      </c>
      <c r="AI130" s="18">
        <f>V130-V131</f>
        <v/>
      </c>
      <c r="AJ130" s="18">
        <f>X130-X131</f>
        <v/>
      </c>
      <c r="AK130" s="18">
        <f>Z130-Z131</f>
        <v/>
      </c>
      <c r="AL130" s="18">
        <f>AB130-AB131</f>
        <v/>
      </c>
    </row>
    <row r="131">
      <c r="A131" s="16" t="n">
        <v>46115</v>
      </c>
      <c r="B131" s="17" t="n">
        <v>3.84</v>
      </c>
      <c r="C131" s="18">
        <f>(B131-B132)*100</f>
        <v/>
      </c>
      <c r="D131" s="17" t="n">
        <v>3.88</v>
      </c>
      <c r="E131" s="18">
        <f>(D131-D132)*100</f>
        <v/>
      </c>
      <c r="F131" s="17" t="n">
        <v>3.99</v>
      </c>
      <c r="G131" s="18">
        <f>(F131-F132)*100</f>
        <v/>
      </c>
      <c r="H131" s="17" t="n">
        <v>4.35</v>
      </c>
      <c r="I131" s="18">
        <f>(H131-H132)*100</f>
        <v/>
      </c>
      <c r="J131" s="17" t="n">
        <v>4.91</v>
      </c>
      <c r="K131" s="18">
        <f>(J131-J132)*100</f>
        <v/>
      </c>
      <c r="L131" s="18">
        <f>(F131-B131)*100</f>
        <v/>
      </c>
      <c r="M131" s="20">
        <f>(L131-$D$9)/$E$9</f>
        <v/>
      </c>
      <c r="N131" s="18">
        <f>(F131-D131)*100</f>
        <v/>
      </c>
      <c r="O131" s="20">
        <f>(N131-$D$10)/$E$10</f>
        <v/>
      </c>
      <c r="P131" s="18">
        <f>(H131-F131)*100</f>
        <v/>
      </c>
      <c r="Q131" s="20">
        <f>(P131-$D$11)/$E$11</f>
        <v/>
      </c>
      <c r="R131" s="18">
        <f>(J131-F131)*100</f>
        <v/>
      </c>
      <c r="S131" s="20">
        <f>(R131-$D$12)/$E$12</f>
        <v/>
      </c>
      <c r="T131" s="18">
        <f>(H131-B131)*100</f>
        <v/>
      </c>
      <c r="U131" s="20">
        <f>(T131-$D$13)/$E$13</f>
        <v/>
      </c>
      <c r="V131" s="18">
        <f>(H131-D131)*100</f>
        <v/>
      </c>
      <c r="W131" s="20">
        <f>(V131-$D$14)/$E$14</f>
        <v/>
      </c>
      <c r="X131" s="18">
        <f>(J131-H131)*100</f>
        <v/>
      </c>
      <c r="Y131" s="20">
        <f>(X131-$D$15)/$E$15</f>
        <v/>
      </c>
      <c r="Z131" s="18">
        <f>(J131-B131)*100</f>
        <v/>
      </c>
      <c r="AA131" s="20">
        <f>(Z131-$D$16)/$E$16</f>
        <v/>
      </c>
      <c r="AB131" s="18">
        <f>(2*F131-B131-H131)*100</f>
        <v/>
      </c>
      <c r="AC131" s="20">
        <f>(AB131-$D$17)/$E$17</f>
        <v/>
      </c>
      <c r="AD131" s="18">
        <f>L131-L132</f>
        <v/>
      </c>
      <c r="AE131" s="18">
        <f>N131-N132</f>
        <v/>
      </c>
      <c r="AF131" s="18">
        <f>P131-P132</f>
        <v/>
      </c>
      <c r="AG131" s="18">
        <f>R131-R132</f>
        <v/>
      </c>
      <c r="AH131" s="18">
        <f>T131-T132</f>
        <v/>
      </c>
      <c r="AI131" s="18">
        <f>V131-V132</f>
        <v/>
      </c>
      <c r="AJ131" s="18">
        <f>X131-X132</f>
        <v/>
      </c>
      <c r="AK131" s="18">
        <f>Z131-Z132</f>
        <v/>
      </c>
      <c r="AL131" s="18">
        <f>AB131-AB132</f>
        <v/>
      </c>
    </row>
    <row r="132">
      <c r="A132" s="16" t="n">
        <v>46114</v>
      </c>
      <c r="B132" s="17" t="n">
        <v>3.79</v>
      </c>
      <c r="C132" s="18">
        <f>(B132-B133)*100</f>
        <v/>
      </c>
      <c r="D132" s="17" t="n">
        <v>3.82</v>
      </c>
      <c r="E132" s="18">
        <f>(D132-D133)*100</f>
        <v/>
      </c>
      <c r="F132" s="17" t="n">
        <v>3.94</v>
      </c>
      <c r="G132" s="18">
        <f>(F132-F133)*100</f>
        <v/>
      </c>
      <c r="H132" s="17" t="n">
        <v>4.31</v>
      </c>
      <c r="I132" s="18">
        <f>(H132-H133)*100</f>
        <v/>
      </c>
      <c r="J132" s="17" t="n">
        <v>4.88</v>
      </c>
      <c r="K132" s="18">
        <f>(J132-J133)*100</f>
        <v/>
      </c>
      <c r="L132" s="18">
        <f>(F132-B132)*100</f>
        <v/>
      </c>
      <c r="M132" s="20">
        <f>(L132-$D$9)/$E$9</f>
        <v/>
      </c>
      <c r="N132" s="18">
        <f>(F132-D132)*100</f>
        <v/>
      </c>
      <c r="O132" s="20">
        <f>(N132-$D$10)/$E$10</f>
        <v/>
      </c>
      <c r="P132" s="18">
        <f>(H132-F132)*100</f>
        <v/>
      </c>
      <c r="Q132" s="20">
        <f>(P132-$D$11)/$E$11</f>
        <v/>
      </c>
      <c r="R132" s="18">
        <f>(J132-F132)*100</f>
        <v/>
      </c>
      <c r="S132" s="20">
        <f>(R132-$D$12)/$E$12</f>
        <v/>
      </c>
      <c r="T132" s="18">
        <f>(H132-B132)*100</f>
        <v/>
      </c>
      <c r="U132" s="20">
        <f>(T132-$D$13)/$E$13</f>
        <v/>
      </c>
      <c r="V132" s="18">
        <f>(H132-D132)*100</f>
        <v/>
      </c>
      <c r="W132" s="20">
        <f>(V132-$D$14)/$E$14</f>
        <v/>
      </c>
      <c r="X132" s="18">
        <f>(J132-H132)*100</f>
        <v/>
      </c>
      <c r="Y132" s="20">
        <f>(X132-$D$15)/$E$15</f>
        <v/>
      </c>
      <c r="Z132" s="18">
        <f>(J132-B132)*100</f>
        <v/>
      </c>
      <c r="AA132" s="20">
        <f>(Z132-$D$16)/$E$16</f>
        <v/>
      </c>
      <c r="AB132" s="18">
        <f>(2*F132-B132-H132)*100</f>
        <v/>
      </c>
      <c r="AC132" s="20">
        <f>(AB132-$D$17)/$E$17</f>
        <v/>
      </c>
      <c r="AD132" s="18">
        <f>L132-L133</f>
        <v/>
      </c>
      <c r="AE132" s="18">
        <f>N132-N133</f>
        <v/>
      </c>
      <c r="AF132" s="18">
        <f>P132-P133</f>
        <v/>
      </c>
      <c r="AG132" s="18">
        <f>R132-R133</f>
        <v/>
      </c>
      <c r="AH132" s="18">
        <f>T132-T133</f>
        <v/>
      </c>
      <c r="AI132" s="18">
        <f>V132-V133</f>
        <v/>
      </c>
      <c r="AJ132" s="18">
        <f>X132-X133</f>
        <v/>
      </c>
      <c r="AK132" s="18">
        <f>Z132-Z133</f>
        <v/>
      </c>
      <c r="AL132" s="18">
        <f>AB132-AB133</f>
        <v/>
      </c>
    </row>
    <row r="133">
      <c r="A133" s="16" t="n">
        <v>46113</v>
      </c>
      <c r="B133" s="17" t="n">
        <v>3.81</v>
      </c>
      <c r="C133" s="18">
        <f>(B133-B134)*100</f>
        <v/>
      </c>
      <c r="D133" s="17" t="n">
        <v>3.84</v>
      </c>
      <c r="E133" s="18">
        <f>(D133-D134)*100</f>
        <v/>
      </c>
      <c r="F133" s="17" t="n">
        <v>3.97</v>
      </c>
      <c r="G133" s="18">
        <f>(F133-F134)*100</f>
        <v/>
      </c>
      <c r="H133" s="17" t="n">
        <v>4.33</v>
      </c>
      <c r="I133" s="18">
        <f>(H133-H134)*100</f>
        <v/>
      </c>
      <c r="J133" s="17" t="n">
        <v>4.91</v>
      </c>
      <c r="K133" s="18">
        <f>(J133-J134)*100</f>
        <v/>
      </c>
      <c r="L133" s="18">
        <f>(F133-B133)*100</f>
        <v/>
      </c>
      <c r="M133" s="20">
        <f>(L133-$D$9)/$E$9</f>
        <v/>
      </c>
      <c r="N133" s="18">
        <f>(F133-D133)*100</f>
        <v/>
      </c>
      <c r="O133" s="20">
        <f>(N133-$D$10)/$E$10</f>
        <v/>
      </c>
      <c r="P133" s="18">
        <f>(H133-F133)*100</f>
        <v/>
      </c>
      <c r="Q133" s="20">
        <f>(P133-$D$11)/$E$11</f>
        <v/>
      </c>
      <c r="R133" s="18">
        <f>(J133-F133)*100</f>
        <v/>
      </c>
      <c r="S133" s="20">
        <f>(R133-$D$12)/$E$12</f>
        <v/>
      </c>
      <c r="T133" s="18">
        <f>(H133-B133)*100</f>
        <v/>
      </c>
      <c r="U133" s="20">
        <f>(T133-$D$13)/$E$13</f>
        <v/>
      </c>
      <c r="V133" s="18">
        <f>(H133-D133)*100</f>
        <v/>
      </c>
      <c r="W133" s="20">
        <f>(V133-$D$14)/$E$14</f>
        <v/>
      </c>
      <c r="X133" s="18">
        <f>(J133-H133)*100</f>
        <v/>
      </c>
      <c r="Y133" s="20">
        <f>(X133-$D$15)/$E$15</f>
        <v/>
      </c>
      <c r="Z133" s="18">
        <f>(J133-B133)*100</f>
        <v/>
      </c>
      <c r="AA133" s="20">
        <f>(Z133-$D$16)/$E$16</f>
        <v/>
      </c>
      <c r="AB133" s="18">
        <f>(2*F133-B133-H133)*100</f>
        <v/>
      </c>
      <c r="AC133" s="20">
        <f>(AB133-$D$17)/$E$17</f>
        <v/>
      </c>
      <c r="AD133" s="18">
        <f>L133-L134</f>
        <v/>
      </c>
      <c r="AE133" s="18">
        <f>N133-N134</f>
        <v/>
      </c>
      <c r="AF133" s="18">
        <f>P133-P134</f>
        <v/>
      </c>
      <c r="AG133" s="18">
        <f>R133-R134</f>
        <v/>
      </c>
      <c r="AH133" s="18">
        <f>T133-T134</f>
        <v/>
      </c>
      <c r="AI133" s="18">
        <f>V133-V134</f>
        <v/>
      </c>
      <c r="AJ133" s="18">
        <f>X133-X134</f>
        <v/>
      </c>
      <c r="AK133" s="18">
        <f>Z133-Z134</f>
        <v/>
      </c>
      <c r="AL133" s="18">
        <f>AB133-AB134</f>
        <v/>
      </c>
    </row>
    <row r="134">
      <c r="A134" s="16" t="n">
        <v>46112</v>
      </c>
      <c r="B134" s="17" t="n">
        <v>3.79</v>
      </c>
      <c r="C134" s="18">
        <f>(B134-B135)*100</f>
        <v/>
      </c>
      <c r="D134" s="17" t="n">
        <v>3.81</v>
      </c>
      <c r="E134" s="18">
        <f>(D134-D135)*100</f>
        <v/>
      </c>
      <c r="F134" s="17" t="n">
        <v>3.92</v>
      </c>
      <c r="G134" s="18">
        <f>(F134-F135)*100</f>
        <v/>
      </c>
      <c r="H134" s="17" t="n">
        <v>4.3</v>
      </c>
      <c r="I134" s="18">
        <f>(H134-H135)*100</f>
        <v/>
      </c>
      <c r="J134" s="17" t="n">
        <v>4.88</v>
      </c>
      <c r="K134" s="18">
        <f>(J134-J135)*100</f>
        <v/>
      </c>
      <c r="L134" s="18">
        <f>(F134-B134)*100</f>
        <v/>
      </c>
      <c r="M134" s="20">
        <f>(L134-$D$9)/$E$9</f>
        <v/>
      </c>
      <c r="N134" s="18">
        <f>(F134-D134)*100</f>
        <v/>
      </c>
      <c r="O134" s="20">
        <f>(N134-$D$10)/$E$10</f>
        <v/>
      </c>
      <c r="P134" s="18">
        <f>(H134-F134)*100</f>
        <v/>
      </c>
      <c r="Q134" s="20">
        <f>(P134-$D$11)/$E$11</f>
        <v/>
      </c>
      <c r="R134" s="18">
        <f>(J134-F134)*100</f>
        <v/>
      </c>
      <c r="S134" s="20">
        <f>(R134-$D$12)/$E$12</f>
        <v/>
      </c>
      <c r="T134" s="18">
        <f>(H134-B134)*100</f>
        <v/>
      </c>
      <c r="U134" s="20">
        <f>(T134-$D$13)/$E$13</f>
        <v/>
      </c>
      <c r="V134" s="18">
        <f>(H134-D134)*100</f>
        <v/>
      </c>
      <c r="W134" s="20">
        <f>(V134-$D$14)/$E$14</f>
        <v/>
      </c>
      <c r="X134" s="18">
        <f>(J134-H134)*100</f>
        <v/>
      </c>
      <c r="Y134" s="20">
        <f>(X134-$D$15)/$E$15</f>
        <v/>
      </c>
      <c r="Z134" s="18">
        <f>(J134-B134)*100</f>
        <v/>
      </c>
      <c r="AA134" s="20">
        <f>(Z134-$D$16)/$E$16</f>
        <v/>
      </c>
      <c r="AB134" s="18">
        <f>(2*F134-B134-H134)*100</f>
        <v/>
      </c>
      <c r="AC134" s="20">
        <f>(AB134-$D$17)/$E$17</f>
        <v/>
      </c>
      <c r="AD134" s="18">
        <f>L134-L135</f>
        <v/>
      </c>
      <c r="AE134" s="18">
        <f>N134-N135</f>
        <v/>
      </c>
      <c r="AF134" s="18">
        <f>P134-P135</f>
        <v/>
      </c>
      <c r="AG134" s="18">
        <f>R134-R135</f>
        <v/>
      </c>
      <c r="AH134" s="18">
        <f>T134-T135</f>
        <v/>
      </c>
      <c r="AI134" s="18">
        <f>V134-V135</f>
        <v/>
      </c>
      <c r="AJ134" s="18">
        <f>X134-X135</f>
        <v/>
      </c>
      <c r="AK134" s="18">
        <f>Z134-Z135</f>
        <v/>
      </c>
      <c r="AL134" s="18">
        <f>AB134-AB135</f>
        <v/>
      </c>
    </row>
    <row r="135">
      <c r="A135" s="16" t="n">
        <v>46111</v>
      </c>
      <c r="B135" s="17" t="n">
        <v>3.82</v>
      </c>
      <c r="C135" s="18">
        <f>(B135-B136)*100</f>
        <v/>
      </c>
      <c r="D135" s="17" t="n">
        <v>3.85</v>
      </c>
      <c r="E135" s="18">
        <f>(D135-D136)*100</f>
        <v/>
      </c>
      <c r="F135" s="17" t="n">
        <v>3.97</v>
      </c>
      <c r="G135" s="18">
        <f>(F135-F136)*100</f>
        <v/>
      </c>
      <c r="H135" s="17" t="n">
        <v>4.35</v>
      </c>
      <c r="I135" s="18">
        <f>(H135-H136)*100</f>
        <v/>
      </c>
      <c r="J135" s="17" t="n">
        <v>4.91</v>
      </c>
      <c r="K135" s="18">
        <f>(J135-J136)*100</f>
        <v/>
      </c>
      <c r="L135" s="18">
        <f>(F135-B135)*100</f>
        <v/>
      </c>
      <c r="M135" s="20">
        <f>(L135-$D$9)/$E$9</f>
        <v/>
      </c>
      <c r="N135" s="18">
        <f>(F135-D135)*100</f>
        <v/>
      </c>
      <c r="O135" s="20">
        <f>(N135-$D$10)/$E$10</f>
        <v/>
      </c>
      <c r="P135" s="18">
        <f>(H135-F135)*100</f>
        <v/>
      </c>
      <c r="Q135" s="20">
        <f>(P135-$D$11)/$E$11</f>
        <v/>
      </c>
      <c r="R135" s="18">
        <f>(J135-F135)*100</f>
        <v/>
      </c>
      <c r="S135" s="20">
        <f>(R135-$D$12)/$E$12</f>
        <v/>
      </c>
      <c r="T135" s="18">
        <f>(H135-B135)*100</f>
        <v/>
      </c>
      <c r="U135" s="20">
        <f>(T135-$D$13)/$E$13</f>
        <v/>
      </c>
      <c r="V135" s="18">
        <f>(H135-D135)*100</f>
        <v/>
      </c>
      <c r="W135" s="20">
        <f>(V135-$D$14)/$E$14</f>
        <v/>
      </c>
      <c r="X135" s="18">
        <f>(J135-H135)*100</f>
        <v/>
      </c>
      <c r="Y135" s="20">
        <f>(X135-$D$15)/$E$15</f>
        <v/>
      </c>
      <c r="Z135" s="18">
        <f>(J135-B135)*100</f>
        <v/>
      </c>
      <c r="AA135" s="20">
        <f>(Z135-$D$16)/$E$16</f>
        <v/>
      </c>
      <c r="AB135" s="18">
        <f>(2*F135-B135-H135)*100</f>
        <v/>
      </c>
      <c r="AC135" s="20">
        <f>(AB135-$D$17)/$E$17</f>
        <v/>
      </c>
      <c r="AD135" s="18">
        <f>L135-L136</f>
        <v/>
      </c>
      <c r="AE135" s="18">
        <f>N135-N136</f>
        <v/>
      </c>
      <c r="AF135" s="18">
        <f>P135-P136</f>
        <v/>
      </c>
      <c r="AG135" s="18">
        <f>R135-R136</f>
        <v/>
      </c>
      <c r="AH135" s="18">
        <f>T135-T136</f>
        <v/>
      </c>
      <c r="AI135" s="18">
        <f>V135-V136</f>
        <v/>
      </c>
      <c r="AJ135" s="18">
        <f>X135-X136</f>
        <v/>
      </c>
      <c r="AK135" s="18">
        <f>Z135-Z136</f>
        <v/>
      </c>
      <c r="AL135" s="18">
        <f>AB135-AB136</f>
        <v/>
      </c>
    </row>
    <row r="136">
      <c r="A136" s="16" t="n">
        <v>46108</v>
      </c>
      <c r="B136" s="17" t="n">
        <v>3.88</v>
      </c>
      <c r="C136" s="18">
        <f>(B136-B137)*100</f>
        <v/>
      </c>
      <c r="D136" s="17" t="n">
        <v>3.94</v>
      </c>
      <c r="E136" s="18">
        <f>(D136-D137)*100</f>
        <v/>
      </c>
      <c r="F136" s="17" t="n">
        <v>4.06</v>
      </c>
      <c r="G136" s="18">
        <f>(F136-F137)*100</f>
        <v/>
      </c>
      <c r="H136" s="17" t="n">
        <v>4.44</v>
      </c>
      <c r="I136" s="18">
        <f>(H136-H137)*100</f>
        <v/>
      </c>
      <c r="J136" s="17" t="n">
        <v>4.98</v>
      </c>
      <c r="K136" s="18">
        <f>(J136-J137)*100</f>
        <v/>
      </c>
      <c r="L136" s="18">
        <f>(F136-B136)*100</f>
        <v/>
      </c>
      <c r="M136" s="20">
        <f>(L136-$D$9)/$E$9</f>
        <v/>
      </c>
      <c r="N136" s="18">
        <f>(F136-D136)*100</f>
        <v/>
      </c>
      <c r="O136" s="20">
        <f>(N136-$D$10)/$E$10</f>
        <v/>
      </c>
      <c r="P136" s="18">
        <f>(H136-F136)*100</f>
        <v/>
      </c>
      <c r="Q136" s="20">
        <f>(P136-$D$11)/$E$11</f>
        <v/>
      </c>
      <c r="R136" s="18">
        <f>(J136-F136)*100</f>
        <v/>
      </c>
      <c r="S136" s="20">
        <f>(R136-$D$12)/$E$12</f>
        <v/>
      </c>
      <c r="T136" s="18">
        <f>(H136-B136)*100</f>
        <v/>
      </c>
      <c r="U136" s="20">
        <f>(T136-$D$13)/$E$13</f>
        <v/>
      </c>
      <c r="V136" s="18">
        <f>(H136-D136)*100</f>
        <v/>
      </c>
      <c r="W136" s="20">
        <f>(V136-$D$14)/$E$14</f>
        <v/>
      </c>
      <c r="X136" s="18">
        <f>(J136-H136)*100</f>
        <v/>
      </c>
      <c r="Y136" s="20">
        <f>(X136-$D$15)/$E$15</f>
        <v/>
      </c>
      <c r="Z136" s="18">
        <f>(J136-B136)*100</f>
        <v/>
      </c>
      <c r="AA136" s="20">
        <f>(Z136-$D$16)/$E$16</f>
        <v/>
      </c>
      <c r="AB136" s="18">
        <f>(2*F136-B136-H136)*100</f>
        <v/>
      </c>
      <c r="AC136" s="20">
        <f>(AB136-$D$17)/$E$17</f>
        <v/>
      </c>
      <c r="AD136" s="18">
        <f>L136-L137</f>
        <v/>
      </c>
      <c r="AE136" s="18">
        <f>N136-N137</f>
        <v/>
      </c>
      <c r="AF136" s="18">
        <f>P136-P137</f>
        <v/>
      </c>
      <c r="AG136" s="18">
        <f>R136-R137</f>
        <v/>
      </c>
      <c r="AH136" s="18">
        <f>T136-T137</f>
        <v/>
      </c>
      <c r="AI136" s="18">
        <f>V136-V137</f>
        <v/>
      </c>
      <c r="AJ136" s="18">
        <f>X136-X137</f>
        <v/>
      </c>
      <c r="AK136" s="18">
        <f>Z136-Z137</f>
        <v/>
      </c>
      <c r="AL136" s="18">
        <f>AB136-AB137</f>
        <v/>
      </c>
    </row>
    <row r="137">
      <c r="A137" s="16" t="n">
        <v>46107</v>
      </c>
      <c r="B137" s="17" t="n">
        <v>3.96</v>
      </c>
      <c r="C137" s="18">
        <f>(B137-B138)*100</f>
        <v/>
      </c>
      <c r="D137" s="17" t="n">
        <v>4</v>
      </c>
      <c r="E137" s="18">
        <f>(D137-D138)*100</f>
        <v/>
      </c>
      <c r="F137" s="17" t="n">
        <v>4.08</v>
      </c>
      <c r="G137" s="18">
        <f>(F137-F138)*100</f>
        <v/>
      </c>
      <c r="H137" s="17" t="n">
        <v>4.42</v>
      </c>
      <c r="I137" s="18">
        <f>(H137-H138)*100</f>
        <v/>
      </c>
      <c r="J137" s="17" t="n">
        <v>4.93</v>
      </c>
      <c r="K137" s="18">
        <f>(J137-J138)*100</f>
        <v/>
      </c>
      <c r="L137" s="18">
        <f>(F137-B137)*100</f>
        <v/>
      </c>
      <c r="M137" s="20">
        <f>(L137-$D$9)/$E$9</f>
        <v/>
      </c>
      <c r="N137" s="18">
        <f>(F137-D137)*100</f>
        <v/>
      </c>
      <c r="O137" s="20">
        <f>(N137-$D$10)/$E$10</f>
        <v/>
      </c>
      <c r="P137" s="18">
        <f>(H137-F137)*100</f>
        <v/>
      </c>
      <c r="Q137" s="20">
        <f>(P137-$D$11)/$E$11</f>
        <v/>
      </c>
      <c r="R137" s="18">
        <f>(J137-F137)*100</f>
        <v/>
      </c>
      <c r="S137" s="20">
        <f>(R137-$D$12)/$E$12</f>
        <v/>
      </c>
      <c r="T137" s="18">
        <f>(H137-B137)*100</f>
        <v/>
      </c>
      <c r="U137" s="20">
        <f>(T137-$D$13)/$E$13</f>
        <v/>
      </c>
      <c r="V137" s="18">
        <f>(H137-D137)*100</f>
        <v/>
      </c>
      <c r="W137" s="20">
        <f>(V137-$D$14)/$E$14</f>
        <v/>
      </c>
      <c r="X137" s="18">
        <f>(J137-H137)*100</f>
        <v/>
      </c>
      <c r="Y137" s="20">
        <f>(X137-$D$15)/$E$15</f>
        <v/>
      </c>
      <c r="Z137" s="18">
        <f>(J137-B137)*100</f>
        <v/>
      </c>
      <c r="AA137" s="20">
        <f>(Z137-$D$16)/$E$16</f>
        <v/>
      </c>
      <c r="AB137" s="18">
        <f>(2*F137-B137-H137)*100</f>
        <v/>
      </c>
      <c r="AC137" s="20">
        <f>(AB137-$D$17)/$E$17</f>
        <v/>
      </c>
      <c r="AD137" s="18">
        <f>L137-L138</f>
        <v/>
      </c>
      <c r="AE137" s="18">
        <f>N137-N138</f>
        <v/>
      </c>
      <c r="AF137" s="18">
        <f>P137-P138</f>
        <v/>
      </c>
      <c r="AG137" s="18">
        <f>R137-R138</f>
        <v/>
      </c>
      <c r="AH137" s="18">
        <f>T137-T138</f>
        <v/>
      </c>
      <c r="AI137" s="18">
        <f>V137-V138</f>
        <v/>
      </c>
      <c r="AJ137" s="18">
        <f>X137-X138</f>
        <v/>
      </c>
      <c r="AK137" s="18">
        <f>Z137-Z138</f>
        <v/>
      </c>
      <c r="AL137" s="18">
        <f>AB137-AB138</f>
        <v/>
      </c>
    </row>
    <row r="138">
      <c r="A138" s="16" t="n">
        <v>46106</v>
      </c>
      <c r="B138" s="17" t="n">
        <v>3.84</v>
      </c>
      <c r="C138" s="18">
        <f>(B138-B139)*100</f>
        <v/>
      </c>
      <c r="D138" s="17" t="n">
        <v>3.88</v>
      </c>
      <c r="E138" s="18">
        <f>(D138-D139)*100</f>
        <v/>
      </c>
      <c r="F138" s="17" t="n">
        <v>3.96</v>
      </c>
      <c r="G138" s="18">
        <f>(F138-F139)*100</f>
        <v/>
      </c>
      <c r="H138" s="17" t="n">
        <v>4.33</v>
      </c>
      <c r="I138" s="18">
        <f>(H138-H139)*100</f>
        <v/>
      </c>
      <c r="J138" s="17" t="n">
        <v>4.89</v>
      </c>
      <c r="K138" s="18">
        <f>(J138-J139)*100</f>
        <v/>
      </c>
      <c r="L138" s="18">
        <f>(F138-B138)*100</f>
        <v/>
      </c>
      <c r="M138" s="20">
        <f>(L138-$D$9)/$E$9</f>
        <v/>
      </c>
      <c r="N138" s="18">
        <f>(F138-D138)*100</f>
        <v/>
      </c>
      <c r="O138" s="20">
        <f>(N138-$D$10)/$E$10</f>
        <v/>
      </c>
      <c r="P138" s="18">
        <f>(H138-F138)*100</f>
        <v/>
      </c>
      <c r="Q138" s="20">
        <f>(P138-$D$11)/$E$11</f>
        <v/>
      </c>
      <c r="R138" s="18">
        <f>(J138-F138)*100</f>
        <v/>
      </c>
      <c r="S138" s="20">
        <f>(R138-$D$12)/$E$12</f>
        <v/>
      </c>
      <c r="T138" s="18">
        <f>(H138-B138)*100</f>
        <v/>
      </c>
      <c r="U138" s="20">
        <f>(T138-$D$13)/$E$13</f>
        <v/>
      </c>
      <c r="V138" s="18">
        <f>(H138-D138)*100</f>
        <v/>
      </c>
      <c r="W138" s="20">
        <f>(V138-$D$14)/$E$14</f>
        <v/>
      </c>
      <c r="X138" s="18">
        <f>(J138-H138)*100</f>
        <v/>
      </c>
      <c r="Y138" s="20">
        <f>(X138-$D$15)/$E$15</f>
        <v/>
      </c>
      <c r="Z138" s="18">
        <f>(J138-B138)*100</f>
        <v/>
      </c>
      <c r="AA138" s="20">
        <f>(Z138-$D$16)/$E$16</f>
        <v/>
      </c>
      <c r="AB138" s="18">
        <f>(2*F138-B138-H138)*100</f>
        <v/>
      </c>
      <c r="AC138" s="20">
        <f>(AB138-$D$17)/$E$17</f>
        <v/>
      </c>
      <c r="AD138" s="18">
        <f>L138-L139</f>
        <v/>
      </c>
      <c r="AE138" s="18">
        <f>N138-N139</f>
        <v/>
      </c>
      <c r="AF138" s="18">
        <f>P138-P139</f>
        <v/>
      </c>
      <c r="AG138" s="18">
        <f>R138-R139</f>
        <v/>
      </c>
      <c r="AH138" s="18">
        <f>T138-T139</f>
        <v/>
      </c>
      <c r="AI138" s="18">
        <f>V138-V139</f>
        <v/>
      </c>
      <c r="AJ138" s="18">
        <f>X138-X139</f>
        <v/>
      </c>
      <c r="AK138" s="18">
        <f>Z138-Z139</f>
        <v/>
      </c>
      <c r="AL138" s="18">
        <f>AB138-AB139</f>
        <v/>
      </c>
    </row>
    <row r="139">
      <c r="A139" s="16" t="n">
        <v>46105</v>
      </c>
      <c r="B139" s="17" t="n">
        <v>3.9</v>
      </c>
      <c r="C139" s="18">
        <f>(B139-B140)*100</f>
        <v/>
      </c>
      <c r="D139" s="17" t="n">
        <v>3.93</v>
      </c>
      <c r="E139" s="18">
        <f>(D139-D140)*100</f>
        <v/>
      </c>
      <c r="F139" s="17" t="n">
        <v>4.03</v>
      </c>
      <c r="G139" s="18">
        <f>(F139-F140)*100</f>
        <v/>
      </c>
      <c r="H139" s="17" t="n">
        <v>4.39</v>
      </c>
      <c r="I139" s="18">
        <f>(H139-H140)*100</f>
        <v/>
      </c>
      <c r="J139" s="17" t="n">
        <v>4.94</v>
      </c>
      <c r="K139" s="18">
        <f>(J139-J140)*100</f>
        <v/>
      </c>
      <c r="L139" s="18">
        <f>(F139-B139)*100</f>
        <v/>
      </c>
      <c r="M139" s="20">
        <f>(L139-$D$9)/$E$9</f>
        <v/>
      </c>
      <c r="N139" s="18">
        <f>(F139-D139)*100</f>
        <v/>
      </c>
      <c r="O139" s="20">
        <f>(N139-$D$10)/$E$10</f>
        <v/>
      </c>
      <c r="P139" s="18">
        <f>(H139-F139)*100</f>
        <v/>
      </c>
      <c r="Q139" s="20">
        <f>(P139-$D$11)/$E$11</f>
        <v/>
      </c>
      <c r="R139" s="18">
        <f>(J139-F139)*100</f>
        <v/>
      </c>
      <c r="S139" s="20">
        <f>(R139-$D$12)/$E$12</f>
        <v/>
      </c>
      <c r="T139" s="18">
        <f>(H139-B139)*100</f>
        <v/>
      </c>
      <c r="U139" s="20">
        <f>(T139-$D$13)/$E$13</f>
        <v/>
      </c>
      <c r="V139" s="18">
        <f>(H139-D139)*100</f>
        <v/>
      </c>
      <c r="W139" s="20">
        <f>(V139-$D$14)/$E$14</f>
        <v/>
      </c>
      <c r="X139" s="18">
        <f>(J139-H139)*100</f>
        <v/>
      </c>
      <c r="Y139" s="20">
        <f>(X139-$D$15)/$E$15</f>
        <v/>
      </c>
      <c r="Z139" s="18">
        <f>(J139-B139)*100</f>
        <v/>
      </c>
      <c r="AA139" s="20">
        <f>(Z139-$D$16)/$E$16</f>
        <v/>
      </c>
      <c r="AB139" s="18">
        <f>(2*F139-B139-H139)*100</f>
        <v/>
      </c>
      <c r="AC139" s="20">
        <f>(AB139-$D$17)/$E$17</f>
        <v/>
      </c>
      <c r="AD139" s="18">
        <f>L139-L140</f>
        <v/>
      </c>
      <c r="AE139" s="18">
        <f>N139-N140</f>
        <v/>
      </c>
      <c r="AF139" s="18">
        <f>P139-P140</f>
        <v/>
      </c>
      <c r="AG139" s="18">
        <f>R139-R140</f>
        <v/>
      </c>
      <c r="AH139" s="18">
        <f>T139-T140</f>
        <v/>
      </c>
      <c r="AI139" s="18">
        <f>V139-V140</f>
        <v/>
      </c>
      <c r="AJ139" s="18">
        <f>X139-X140</f>
        <v/>
      </c>
      <c r="AK139" s="18">
        <f>Z139-Z140</f>
        <v/>
      </c>
      <c r="AL139" s="18">
        <f>AB139-AB140</f>
        <v/>
      </c>
    </row>
    <row r="140">
      <c r="A140" s="16" t="n">
        <v>46104</v>
      </c>
      <c r="B140" s="17" t="n">
        <v>3.83</v>
      </c>
      <c r="C140" s="18">
        <f>(B140-B141)*100</f>
        <v/>
      </c>
      <c r="D140" s="17" t="n">
        <v>3.85</v>
      </c>
      <c r="E140" s="18">
        <f>(D140-D141)*100</f>
        <v/>
      </c>
      <c r="F140" s="17" t="n">
        <v>3.95</v>
      </c>
      <c r="G140" s="18">
        <f>(F140-F141)*100</f>
        <v/>
      </c>
      <c r="H140" s="17" t="n">
        <v>4.34</v>
      </c>
      <c r="I140" s="18">
        <f>(H140-H141)*100</f>
        <v/>
      </c>
      <c r="J140" s="17" t="n">
        <v>4.91</v>
      </c>
      <c r="K140" s="18">
        <f>(J140-J141)*100</f>
        <v/>
      </c>
      <c r="L140" s="18">
        <f>(F140-B140)*100</f>
        <v/>
      </c>
      <c r="M140" s="20">
        <f>(L140-$D$9)/$E$9</f>
        <v/>
      </c>
      <c r="N140" s="18">
        <f>(F140-D140)*100</f>
        <v/>
      </c>
      <c r="O140" s="20">
        <f>(N140-$D$10)/$E$10</f>
        <v/>
      </c>
      <c r="P140" s="18">
        <f>(H140-F140)*100</f>
        <v/>
      </c>
      <c r="Q140" s="20">
        <f>(P140-$D$11)/$E$11</f>
        <v/>
      </c>
      <c r="R140" s="18">
        <f>(J140-F140)*100</f>
        <v/>
      </c>
      <c r="S140" s="20">
        <f>(R140-$D$12)/$E$12</f>
        <v/>
      </c>
      <c r="T140" s="18">
        <f>(H140-B140)*100</f>
        <v/>
      </c>
      <c r="U140" s="20">
        <f>(T140-$D$13)/$E$13</f>
        <v/>
      </c>
      <c r="V140" s="18">
        <f>(H140-D140)*100</f>
        <v/>
      </c>
      <c r="W140" s="20">
        <f>(V140-$D$14)/$E$14</f>
        <v/>
      </c>
      <c r="X140" s="18">
        <f>(J140-H140)*100</f>
        <v/>
      </c>
      <c r="Y140" s="20">
        <f>(X140-$D$15)/$E$15</f>
        <v/>
      </c>
      <c r="Z140" s="18">
        <f>(J140-B140)*100</f>
        <v/>
      </c>
      <c r="AA140" s="20">
        <f>(Z140-$D$16)/$E$16</f>
        <v/>
      </c>
      <c r="AB140" s="18">
        <f>(2*F140-B140-H140)*100</f>
        <v/>
      </c>
      <c r="AC140" s="20">
        <f>(AB140-$D$17)/$E$17</f>
        <v/>
      </c>
      <c r="AD140" s="18">
        <f>L140-L141</f>
        <v/>
      </c>
      <c r="AE140" s="18">
        <f>N140-N141</f>
        <v/>
      </c>
      <c r="AF140" s="18">
        <f>P140-P141</f>
        <v/>
      </c>
      <c r="AG140" s="18">
        <f>R140-R141</f>
        <v/>
      </c>
      <c r="AH140" s="18">
        <f>T140-T141</f>
        <v/>
      </c>
      <c r="AI140" s="18">
        <f>V140-V141</f>
        <v/>
      </c>
      <c r="AJ140" s="18">
        <f>X140-X141</f>
        <v/>
      </c>
      <c r="AK140" s="18">
        <f>Z140-Z141</f>
        <v/>
      </c>
      <c r="AL140" s="18">
        <f>AB140-AB141</f>
        <v/>
      </c>
    </row>
    <row r="141">
      <c r="A141" s="16" t="n">
        <v>46101</v>
      </c>
      <c r="B141" s="17" t="n">
        <v>3.88</v>
      </c>
      <c r="C141" s="18">
        <f>(B141-B142)*100</f>
        <v/>
      </c>
      <c r="D141" s="17" t="n">
        <v>3.9</v>
      </c>
      <c r="E141" s="18">
        <f>(D141-D142)*100</f>
        <v/>
      </c>
      <c r="F141" s="17" t="n">
        <v>4.01</v>
      </c>
      <c r="G141" s="18">
        <f>(F141-F142)*100</f>
        <v/>
      </c>
      <c r="H141" s="17" t="n">
        <v>4.39</v>
      </c>
      <c r="I141" s="18">
        <f>(H141-H142)*100</f>
        <v/>
      </c>
      <c r="J141" s="17" t="n">
        <v>4.96</v>
      </c>
      <c r="K141" s="18">
        <f>(J141-J142)*100</f>
        <v/>
      </c>
      <c r="L141" s="18">
        <f>(F141-B141)*100</f>
        <v/>
      </c>
      <c r="M141" s="20">
        <f>(L141-$D$9)/$E$9</f>
        <v/>
      </c>
      <c r="N141" s="18">
        <f>(F141-D141)*100</f>
        <v/>
      </c>
      <c r="O141" s="20">
        <f>(N141-$D$10)/$E$10</f>
        <v/>
      </c>
      <c r="P141" s="18">
        <f>(H141-F141)*100</f>
        <v/>
      </c>
      <c r="Q141" s="20">
        <f>(P141-$D$11)/$E$11</f>
        <v/>
      </c>
      <c r="R141" s="18">
        <f>(J141-F141)*100</f>
        <v/>
      </c>
      <c r="S141" s="20">
        <f>(R141-$D$12)/$E$12</f>
        <v/>
      </c>
      <c r="T141" s="18">
        <f>(H141-B141)*100</f>
        <v/>
      </c>
      <c r="U141" s="20">
        <f>(T141-$D$13)/$E$13</f>
        <v/>
      </c>
      <c r="V141" s="18">
        <f>(H141-D141)*100</f>
        <v/>
      </c>
      <c r="W141" s="20">
        <f>(V141-$D$14)/$E$14</f>
        <v/>
      </c>
      <c r="X141" s="18">
        <f>(J141-H141)*100</f>
        <v/>
      </c>
      <c r="Y141" s="20">
        <f>(X141-$D$15)/$E$15</f>
        <v/>
      </c>
      <c r="Z141" s="18">
        <f>(J141-B141)*100</f>
        <v/>
      </c>
      <c r="AA141" s="20">
        <f>(Z141-$D$16)/$E$16</f>
        <v/>
      </c>
      <c r="AB141" s="18">
        <f>(2*F141-B141-H141)*100</f>
        <v/>
      </c>
      <c r="AC141" s="20">
        <f>(AB141-$D$17)/$E$17</f>
        <v/>
      </c>
      <c r="AD141" s="18">
        <f>L141-L142</f>
        <v/>
      </c>
      <c r="AE141" s="18">
        <f>N141-N142</f>
        <v/>
      </c>
      <c r="AF141" s="18">
        <f>P141-P142</f>
        <v/>
      </c>
      <c r="AG141" s="18">
        <f>R141-R142</f>
        <v/>
      </c>
      <c r="AH141" s="18">
        <f>T141-T142</f>
        <v/>
      </c>
      <c r="AI141" s="18">
        <f>V141-V142</f>
        <v/>
      </c>
      <c r="AJ141" s="18">
        <f>X141-X142</f>
        <v/>
      </c>
      <c r="AK141" s="18">
        <f>Z141-Z142</f>
        <v/>
      </c>
      <c r="AL141" s="18">
        <f>AB141-AB142</f>
        <v/>
      </c>
    </row>
    <row r="142">
      <c r="A142" s="16" t="n">
        <v>46100</v>
      </c>
      <c r="B142" s="17" t="n">
        <v>3.79</v>
      </c>
      <c r="C142" s="18">
        <f>(B142-B143)*100</f>
        <v/>
      </c>
      <c r="D142" s="17" t="n">
        <v>3.79</v>
      </c>
      <c r="E142" s="18">
        <f>(D142-D143)*100</f>
        <v/>
      </c>
      <c r="F142" s="17" t="n">
        <v>3.88</v>
      </c>
      <c r="G142" s="18">
        <f>(F142-F143)*100</f>
        <v/>
      </c>
      <c r="H142" s="17" t="n">
        <v>4.25</v>
      </c>
      <c r="I142" s="18">
        <f>(H142-H143)*100</f>
        <v/>
      </c>
      <c r="J142" s="17" t="n">
        <v>4.83</v>
      </c>
      <c r="K142" s="18">
        <f>(J142-J143)*100</f>
        <v/>
      </c>
      <c r="L142" s="18">
        <f>(F142-B142)*100</f>
        <v/>
      </c>
      <c r="M142" s="20">
        <f>(L142-$D$9)/$E$9</f>
        <v/>
      </c>
      <c r="N142" s="18">
        <f>(F142-D142)*100</f>
        <v/>
      </c>
      <c r="O142" s="20">
        <f>(N142-$D$10)/$E$10</f>
        <v/>
      </c>
      <c r="P142" s="18">
        <f>(H142-F142)*100</f>
        <v/>
      </c>
      <c r="Q142" s="20">
        <f>(P142-$D$11)/$E$11</f>
        <v/>
      </c>
      <c r="R142" s="18">
        <f>(J142-F142)*100</f>
        <v/>
      </c>
      <c r="S142" s="20">
        <f>(R142-$D$12)/$E$12</f>
        <v/>
      </c>
      <c r="T142" s="18">
        <f>(H142-B142)*100</f>
        <v/>
      </c>
      <c r="U142" s="20">
        <f>(T142-$D$13)/$E$13</f>
        <v/>
      </c>
      <c r="V142" s="18">
        <f>(H142-D142)*100</f>
        <v/>
      </c>
      <c r="W142" s="20">
        <f>(V142-$D$14)/$E$14</f>
        <v/>
      </c>
      <c r="X142" s="18">
        <f>(J142-H142)*100</f>
        <v/>
      </c>
      <c r="Y142" s="20">
        <f>(X142-$D$15)/$E$15</f>
        <v/>
      </c>
      <c r="Z142" s="18">
        <f>(J142-B142)*100</f>
        <v/>
      </c>
      <c r="AA142" s="20">
        <f>(Z142-$D$16)/$E$16</f>
        <v/>
      </c>
      <c r="AB142" s="18">
        <f>(2*F142-B142-H142)*100</f>
        <v/>
      </c>
      <c r="AC142" s="20">
        <f>(AB142-$D$17)/$E$17</f>
        <v/>
      </c>
      <c r="AD142" s="18">
        <f>L142-L143</f>
        <v/>
      </c>
      <c r="AE142" s="18">
        <f>N142-N143</f>
        <v/>
      </c>
      <c r="AF142" s="18">
        <f>P142-P143</f>
        <v/>
      </c>
      <c r="AG142" s="18">
        <f>R142-R143</f>
        <v/>
      </c>
      <c r="AH142" s="18">
        <f>T142-T143</f>
        <v/>
      </c>
      <c r="AI142" s="18">
        <f>V142-V143</f>
        <v/>
      </c>
      <c r="AJ142" s="18">
        <f>X142-X143</f>
        <v/>
      </c>
      <c r="AK142" s="18">
        <f>Z142-Z143</f>
        <v/>
      </c>
      <c r="AL142" s="18">
        <f>AB142-AB143</f>
        <v/>
      </c>
    </row>
    <row r="143">
      <c r="A143" s="16" t="n">
        <v>46099</v>
      </c>
      <c r="B143" s="17" t="n">
        <v>3.76</v>
      </c>
      <c r="C143" s="18">
        <f>(B143-B144)*100</f>
        <v/>
      </c>
      <c r="D143" s="17" t="n">
        <v>3.76</v>
      </c>
      <c r="E143" s="18">
        <f>(D143-D144)*100</f>
        <v/>
      </c>
      <c r="F143" s="17" t="n">
        <v>3.87</v>
      </c>
      <c r="G143" s="18">
        <f>(F143-F144)*100</f>
        <v/>
      </c>
      <c r="H143" s="17" t="n">
        <v>4.26</v>
      </c>
      <c r="I143" s="18">
        <f>(H143-H144)*100</f>
        <v/>
      </c>
      <c r="J143" s="17" t="n">
        <v>4.88</v>
      </c>
      <c r="K143" s="18">
        <f>(J143-J144)*100</f>
        <v/>
      </c>
      <c r="L143" s="18">
        <f>(F143-B143)*100</f>
        <v/>
      </c>
      <c r="M143" s="20">
        <f>(L143-$D$9)/$E$9</f>
        <v/>
      </c>
      <c r="N143" s="18">
        <f>(F143-D143)*100</f>
        <v/>
      </c>
      <c r="O143" s="20">
        <f>(N143-$D$10)/$E$10</f>
        <v/>
      </c>
      <c r="P143" s="18">
        <f>(H143-F143)*100</f>
        <v/>
      </c>
      <c r="Q143" s="20">
        <f>(P143-$D$11)/$E$11</f>
        <v/>
      </c>
      <c r="R143" s="18">
        <f>(J143-F143)*100</f>
        <v/>
      </c>
      <c r="S143" s="20">
        <f>(R143-$D$12)/$E$12</f>
        <v/>
      </c>
      <c r="T143" s="18">
        <f>(H143-B143)*100</f>
        <v/>
      </c>
      <c r="U143" s="20">
        <f>(T143-$D$13)/$E$13</f>
        <v/>
      </c>
      <c r="V143" s="18">
        <f>(H143-D143)*100</f>
        <v/>
      </c>
      <c r="W143" s="20">
        <f>(V143-$D$14)/$E$14</f>
        <v/>
      </c>
      <c r="X143" s="18">
        <f>(J143-H143)*100</f>
        <v/>
      </c>
      <c r="Y143" s="20">
        <f>(X143-$D$15)/$E$15</f>
        <v/>
      </c>
      <c r="Z143" s="18">
        <f>(J143-B143)*100</f>
        <v/>
      </c>
      <c r="AA143" s="20">
        <f>(Z143-$D$16)/$E$16</f>
        <v/>
      </c>
      <c r="AB143" s="18">
        <f>(2*F143-B143-H143)*100</f>
        <v/>
      </c>
      <c r="AC143" s="20">
        <f>(AB143-$D$17)/$E$17</f>
        <v/>
      </c>
      <c r="AD143" s="18">
        <f>L143-L144</f>
        <v/>
      </c>
      <c r="AE143" s="18">
        <f>N143-N144</f>
        <v/>
      </c>
      <c r="AF143" s="18">
        <f>P143-P144</f>
        <v/>
      </c>
      <c r="AG143" s="18">
        <f>R143-R144</f>
        <v/>
      </c>
      <c r="AH143" s="18">
        <f>T143-T144</f>
        <v/>
      </c>
      <c r="AI143" s="18">
        <f>V143-V144</f>
        <v/>
      </c>
      <c r="AJ143" s="18">
        <f>X143-X144</f>
        <v/>
      </c>
      <c r="AK143" s="18">
        <f>Z143-Z144</f>
        <v/>
      </c>
      <c r="AL143" s="18">
        <f>AB143-AB144</f>
        <v/>
      </c>
    </row>
    <row r="144">
      <c r="A144" s="16" t="n">
        <v>46098</v>
      </c>
      <c r="B144" s="17" t="n">
        <v>3.68</v>
      </c>
      <c r="C144" s="18">
        <f>(B144-B145)*100</f>
        <v/>
      </c>
      <c r="D144" s="17" t="n">
        <v>3.68</v>
      </c>
      <c r="E144" s="18">
        <f>(D144-D145)*100</f>
        <v/>
      </c>
      <c r="F144" s="17" t="n">
        <v>3.79</v>
      </c>
      <c r="G144" s="18">
        <f>(F144-F145)*100</f>
        <v/>
      </c>
      <c r="H144" s="17" t="n">
        <v>4.2</v>
      </c>
      <c r="I144" s="18">
        <f>(H144-H145)*100</f>
        <v/>
      </c>
      <c r="J144" s="17" t="n">
        <v>4.85</v>
      </c>
      <c r="K144" s="18">
        <f>(J144-J145)*100</f>
        <v/>
      </c>
      <c r="L144" s="18">
        <f>(F144-B144)*100</f>
        <v/>
      </c>
      <c r="M144" s="20">
        <f>(L144-$D$9)/$E$9</f>
        <v/>
      </c>
      <c r="N144" s="18">
        <f>(F144-D144)*100</f>
        <v/>
      </c>
      <c r="O144" s="20">
        <f>(N144-$D$10)/$E$10</f>
        <v/>
      </c>
      <c r="P144" s="18">
        <f>(H144-F144)*100</f>
        <v/>
      </c>
      <c r="Q144" s="20">
        <f>(P144-$D$11)/$E$11</f>
        <v/>
      </c>
      <c r="R144" s="18">
        <f>(J144-F144)*100</f>
        <v/>
      </c>
      <c r="S144" s="20">
        <f>(R144-$D$12)/$E$12</f>
        <v/>
      </c>
      <c r="T144" s="18">
        <f>(H144-B144)*100</f>
        <v/>
      </c>
      <c r="U144" s="20">
        <f>(T144-$D$13)/$E$13</f>
        <v/>
      </c>
      <c r="V144" s="18">
        <f>(H144-D144)*100</f>
        <v/>
      </c>
      <c r="W144" s="20">
        <f>(V144-$D$14)/$E$14</f>
        <v/>
      </c>
      <c r="X144" s="18">
        <f>(J144-H144)*100</f>
        <v/>
      </c>
      <c r="Y144" s="20">
        <f>(X144-$D$15)/$E$15</f>
        <v/>
      </c>
      <c r="Z144" s="18">
        <f>(J144-B144)*100</f>
        <v/>
      </c>
      <c r="AA144" s="20">
        <f>(Z144-$D$16)/$E$16</f>
        <v/>
      </c>
      <c r="AB144" s="18">
        <f>(2*F144-B144-H144)*100</f>
        <v/>
      </c>
      <c r="AC144" s="20">
        <f>(AB144-$D$17)/$E$17</f>
        <v/>
      </c>
      <c r="AD144" s="18">
        <f>L144-L145</f>
        <v/>
      </c>
      <c r="AE144" s="18">
        <f>N144-N145</f>
        <v/>
      </c>
      <c r="AF144" s="18">
        <f>P144-P145</f>
        <v/>
      </c>
      <c r="AG144" s="18">
        <f>R144-R145</f>
        <v/>
      </c>
      <c r="AH144" s="18">
        <f>T144-T145</f>
        <v/>
      </c>
      <c r="AI144" s="18">
        <f>V144-V145</f>
        <v/>
      </c>
      <c r="AJ144" s="18">
        <f>X144-X145</f>
        <v/>
      </c>
      <c r="AK144" s="18">
        <f>Z144-Z145</f>
        <v/>
      </c>
      <c r="AL144" s="18">
        <f>AB144-AB145</f>
        <v/>
      </c>
    </row>
    <row r="145">
      <c r="A145" s="16" t="n">
        <v>46097</v>
      </c>
      <c r="B145" s="17" t="n">
        <v>3.68</v>
      </c>
      <c r="C145" s="18">
        <f>(B145-B146)*100</f>
        <v/>
      </c>
      <c r="D145" s="17" t="n">
        <v>3.69</v>
      </c>
      <c r="E145" s="18">
        <f>(D145-D146)*100</f>
        <v/>
      </c>
      <c r="F145" s="17" t="n">
        <v>3.8</v>
      </c>
      <c r="G145" s="18">
        <f>(F145-F146)*100</f>
        <v/>
      </c>
      <c r="H145" s="17" t="n">
        <v>4.23</v>
      </c>
      <c r="I145" s="18">
        <f>(H145-H146)*100</f>
        <v/>
      </c>
      <c r="J145" s="17" t="n">
        <v>4.86</v>
      </c>
      <c r="K145" s="18">
        <f>(J145-J146)*100</f>
        <v/>
      </c>
      <c r="L145" s="18">
        <f>(F145-B145)*100</f>
        <v/>
      </c>
      <c r="M145" s="20">
        <f>(L145-$D$9)/$E$9</f>
        <v/>
      </c>
      <c r="N145" s="18">
        <f>(F145-D145)*100</f>
        <v/>
      </c>
      <c r="O145" s="20">
        <f>(N145-$D$10)/$E$10</f>
        <v/>
      </c>
      <c r="P145" s="18">
        <f>(H145-F145)*100</f>
        <v/>
      </c>
      <c r="Q145" s="20">
        <f>(P145-$D$11)/$E$11</f>
        <v/>
      </c>
      <c r="R145" s="18">
        <f>(J145-F145)*100</f>
        <v/>
      </c>
      <c r="S145" s="20">
        <f>(R145-$D$12)/$E$12</f>
        <v/>
      </c>
      <c r="T145" s="18">
        <f>(H145-B145)*100</f>
        <v/>
      </c>
      <c r="U145" s="20">
        <f>(T145-$D$13)/$E$13</f>
        <v/>
      </c>
      <c r="V145" s="18">
        <f>(H145-D145)*100</f>
        <v/>
      </c>
      <c r="W145" s="20">
        <f>(V145-$D$14)/$E$14</f>
        <v/>
      </c>
      <c r="X145" s="18">
        <f>(J145-H145)*100</f>
        <v/>
      </c>
      <c r="Y145" s="20">
        <f>(X145-$D$15)/$E$15</f>
        <v/>
      </c>
      <c r="Z145" s="18">
        <f>(J145-B145)*100</f>
        <v/>
      </c>
      <c r="AA145" s="20">
        <f>(Z145-$D$16)/$E$16</f>
        <v/>
      </c>
      <c r="AB145" s="18">
        <f>(2*F145-B145-H145)*100</f>
        <v/>
      </c>
      <c r="AC145" s="20">
        <f>(AB145-$D$17)/$E$17</f>
        <v/>
      </c>
      <c r="AD145" s="18">
        <f>L145-L146</f>
        <v/>
      </c>
      <c r="AE145" s="18">
        <f>N145-N146</f>
        <v/>
      </c>
      <c r="AF145" s="18">
        <f>P145-P146</f>
        <v/>
      </c>
      <c r="AG145" s="18">
        <f>R145-R146</f>
        <v/>
      </c>
      <c r="AH145" s="18">
        <f>T145-T146</f>
        <v/>
      </c>
      <c r="AI145" s="18">
        <f>V145-V146</f>
        <v/>
      </c>
      <c r="AJ145" s="18">
        <f>X145-X146</f>
        <v/>
      </c>
      <c r="AK145" s="18">
        <f>Z145-Z146</f>
        <v/>
      </c>
      <c r="AL145" s="18">
        <f>AB145-AB146</f>
        <v/>
      </c>
    </row>
    <row r="146">
      <c r="A146" s="16" t="n">
        <v>46094</v>
      </c>
      <c r="B146" s="17" t="n">
        <v>3.73</v>
      </c>
      <c r="C146" s="18">
        <f>(B146-B147)*100</f>
        <v/>
      </c>
      <c r="D146" s="17" t="n">
        <v>3.74</v>
      </c>
      <c r="E146" s="18">
        <f>(D146-D147)*100</f>
        <v/>
      </c>
      <c r="F146" s="17" t="n">
        <v>3.87</v>
      </c>
      <c r="G146" s="18">
        <f>(F146-F147)*100</f>
        <v/>
      </c>
      <c r="H146" s="17" t="n">
        <v>4.28</v>
      </c>
      <c r="I146" s="18">
        <f>(H146-H147)*100</f>
        <v/>
      </c>
      <c r="J146" s="17" t="n">
        <v>4.9</v>
      </c>
      <c r="K146" s="18">
        <f>(J146-J147)*100</f>
        <v/>
      </c>
      <c r="L146" s="18">
        <f>(F146-B146)*100</f>
        <v/>
      </c>
      <c r="M146" s="20">
        <f>(L146-$D$9)/$E$9</f>
        <v/>
      </c>
      <c r="N146" s="18">
        <f>(F146-D146)*100</f>
        <v/>
      </c>
      <c r="O146" s="20">
        <f>(N146-$D$10)/$E$10</f>
        <v/>
      </c>
      <c r="P146" s="18">
        <f>(H146-F146)*100</f>
        <v/>
      </c>
      <c r="Q146" s="20">
        <f>(P146-$D$11)/$E$11</f>
        <v/>
      </c>
      <c r="R146" s="18">
        <f>(J146-F146)*100</f>
        <v/>
      </c>
      <c r="S146" s="20">
        <f>(R146-$D$12)/$E$12</f>
        <v/>
      </c>
      <c r="T146" s="18">
        <f>(H146-B146)*100</f>
        <v/>
      </c>
      <c r="U146" s="20">
        <f>(T146-$D$13)/$E$13</f>
        <v/>
      </c>
      <c r="V146" s="18">
        <f>(H146-D146)*100</f>
        <v/>
      </c>
      <c r="W146" s="20">
        <f>(V146-$D$14)/$E$14</f>
        <v/>
      </c>
      <c r="X146" s="18">
        <f>(J146-H146)*100</f>
        <v/>
      </c>
      <c r="Y146" s="20">
        <f>(X146-$D$15)/$E$15</f>
        <v/>
      </c>
      <c r="Z146" s="18">
        <f>(J146-B146)*100</f>
        <v/>
      </c>
      <c r="AA146" s="20">
        <f>(Z146-$D$16)/$E$16</f>
        <v/>
      </c>
      <c r="AB146" s="18">
        <f>(2*F146-B146-H146)*100</f>
        <v/>
      </c>
      <c r="AC146" s="20">
        <f>(AB146-$D$17)/$E$17</f>
        <v/>
      </c>
      <c r="AD146" s="18">
        <f>L146-L147</f>
        <v/>
      </c>
      <c r="AE146" s="18">
        <f>N146-N147</f>
        <v/>
      </c>
      <c r="AF146" s="18">
        <f>P146-P147</f>
        <v/>
      </c>
      <c r="AG146" s="18">
        <f>R146-R147</f>
        <v/>
      </c>
      <c r="AH146" s="18">
        <f>T146-T147</f>
        <v/>
      </c>
      <c r="AI146" s="18">
        <f>V146-V147</f>
        <v/>
      </c>
      <c r="AJ146" s="18">
        <f>X146-X147</f>
        <v/>
      </c>
      <c r="AK146" s="18">
        <f>Z146-Z147</f>
        <v/>
      </c>
      <c r="AL146" s="18">
        <f>AB146-AB147</f>
        <v/>
      </c>
    </row>
    <row r="147">
      <c r="A147" s="16" t="n">
        <v>46093</v>
      </c>
      <c r="B147" s="17" t="n">
        <v>3.76</v>
      </c>
      <c r="C147" s="18">
        <f>(B147-B148)*100</f>
        <v/>
      </c>
      <c r="D147" s="17" t="n">
        <v>3.75</v>
      </c>
      <c r="E147" s="18">
        <f>(D147-D148)*100</f>
        <v/>
      </c>
      <c r="F147" s="17" t="n">
        <v>3.88</v>
      </c>
      <c r="G147" s="18">
        <f>(F147-F148)*100</f>
        <v/>
      </c>
      <c r="H147" s="17" t="n">
        <v>4.27</v>
      </c>
      <c r="I147" s="18">
        <f>(H147-H148)*100</f>
        <v/>
      </c>
      <c r="J147" s="17" t="n">
        <v>4.88</v>
      </c>
      <c r="K147" s="18">
        <f>(J147-J148)*100</f>
        <v/>
      </c>
      <c r="L147" s="18">
        <f>(F147-B147)*100</f>
        <v/>
      </c>
      <c r="M147" s="20">
        <f>(L147-$D$9)/$E$9</f>
        <v/>
      </c>
      <c r="N147" s="18">
        <f>(F147-D147)*100</f>
        <v/>
      </c>
      <c r="O147" s="20">
        <f>(N147-$D$10)/$E$10</f>
        <v/>
      </c>
      <c r="P147" s="18">
        <f>(H147-F147)*100</f>
        <v/>
      </c>
      <c r="Q147" s="20">
        <f>(P147-$D$11)/$E$11</f>
        <v/>
      </c>
      <c r="R147" s="18">
        <f>(J147-F147)*100</f>
        <v/>
      </c>
      <c r="S147" s="20">
        <f>(R147-$D$12)/$E$12</f>
        <v/>
      </c>
      <c r="T147" s="18">
        <f>(H147-B147)*100</f>
        <v/>
      </c>
      <c r="U147" s="20">
        <f>(T147-$D$13)/$E$13</f>
        <v/>
      </c>
      <c r="V147" s="18">
        <f>(H147-D147)*100</f>
        <v/>
      </c>
      <c r="W147" s="20">
        <f>(V147-$D$14)/$E$14</f>
        <v/>
      </c>
      <c r="X147" s="18">
        <f>(J147-H147)*100</f>
        <v/>
      </c>
      <c r="Y147" s="20">
        <f>(X147-$D$15)/$E$15</f>
        <v/>
      </c>
      <c r="Z147" s="18">
        <f>(J147-B147)*100</f>
        <v/>
      </c>
      <c r="AA147" s="20">
        <f>(Z147-$D$16)/$E$16</f>
        <v/>
      </c>
      <c r="AB147" s="18">
        <f>(2*F147-B147-H147)*100</f>
        <v/>
      </c>
      <c r="AC147" s="20">
        <f>(AB147-$D$17)/$E$17</f>
        <v/>
      </c>
      <c r="AD147" s="18">
        <f>L147-L148</f>
        <v/>
      </c>
      <c r="AE147" s="18">
        <f>N147-N148</f>
        <v/>
      </c>
      <c r="AF147" s="18">
        <f>P147-P148</f>
        <v/>
      </c>
      <c r="AG147" s="18">
        <f>R147-R148</f>
        <v/>
      </c>
      <c r="AH147" s="18">
        <f>T147-T148</f>
        <v/>
      </c>
      <c r="AI147" s="18">
        <f>V147-V148</f>
        <v/>
      </c>
      <c r="AJ147" s="18">
        <f>X147-X148</f>
        <v/>
      </c>
      <c r="AK147" s="18">
        <f>Z147-Z148</f>
        <v/>
      </c>
      <c r="AL147" s="18">
        <f>AB147-AB148</f>
        <v/>
      </c>
    </row>
    <row r="148">
      <c r="A148" s="16" t="n">
        <v>46092</v>
      </c>
      <c r="B148" s="17" t="n">
        <v>3.64</v>
      </c>
      <c r="C148" s="18">
        <f>(B148-B149)*100</f>
        <v/>
      </c>
      <c r="D148" s="17" t="n">
        <v>3.64</v>
      </c>
      <c r="E148" s="18">
        <f>(D148-D149)*100</f>
        <v/>
      </c>
      <c r="F148" s="17" t="n">
        <v>3.79</v>
      </c>
      <c r="G148" s="18">
        <f>(F148-F149)*100</f>
        <v/>
      </c>
      <c r="H148" s="17" t="n">
        <v>4.21</v>
      </c>
      <c r="I148" s="18">
        <f>(H148-H149)*100</f>
        <v/>
      </c>
      <c r="J148" s="17" t="n">
        <v>4.86</v>
      </c>
      <c r="K148" s="18">
        <f>(J148-J149)*100</f>
        <v/>
      </c>
      <c r="L148" s="18">
        <f>(F148-B148)*100</f>
        <v/>
      </c>
      <c r="M148" s="20">
        <f>(L148-$D$9)/$E$9</f>
        <v/>
      </c>
      <c r="N148" s="18">
        <f>(F148-D148)*100</f>
        <v/>
      </c>
      <c r="O148" s="20">
        <f>(N148-$D$10)/$E$10</f>
        <v/>
      </c>
      <c r="P148" s="18">
        <f>(H148-F148)*100</f>
        <v/>
      </c>
      <c r="Q148" s="20">
        <f>(P148-$D$11)/$E$11</f>
        <v/>
      </c>
      <c r="R148" s="18">
        <f>(J148-F148)*100</f>
        <v/>
      </c>
      <c r="S148" s="20">
        <f>(R148-$D$12)/$E$12</f>
        <v/>
      </c>
      <c r="T148" s="18">
        <f>(H148-B148)*100</f>
        <v/>
      </c>
      <c r="U148" s="20">
        <f>(T148-$D$13)/$E$13</f>
        <v/>
      </c>
      <c r="V148" s="18">
        <f>(H148-D148)*100</f>
        <v/>
      </c>
      <c r="W148" s="20">
        <f>(V148-$D$14)/$E$14</f>
        <v/>
      </c>
      <c r="X148" s="18">
        <f>(J148-H148)*100</f>
        <v/>
      </c>
      <c r="Y148" s="20">
        <f>(X148-$D$15)/$E$15</f>
        <v/>
      </c>
      <c r="Z148" s="18">
        <f>(J148-B148)*100</f>
        <v/>
      </c>
      <c r="AA148" s="20">
        <f>(Z148-$D$16)/$E$16</f>
        <v/>
      </c>
      <c r="AB148" s="18">
        <f>(2*F148-B148-H148)*100</f>
        <v/>
      </c>
      <c r="AC148" s="20">
        <f>(AB148-$D$17)/$E$17</f>
        <v/>
      </c>
      <c r="AD148" s="18">
        <f>L148-L149</f>
        <v/>
      </c>
      <c r="AE148" s="18">
        <f>N148-N149</f>
        <v/>
      </c>
      <c r="AF148" s="18">
        <f>P148-P149</f>
        <v/>
      </c>
      <c r="AG148" s="18">
        <f>R148-R149</f>
        <v/>
      </c>
      <c r="AH148" s="18">
        <f>T148-T149</f>
        <v/>
      </c>
      <c r="AI148" s="18">
        <f>V148-V149</f>
        <v/>
      </c>
      <c r="AJ148" s="18">
        <f>X148-X149</f>
        <v/>
      </c>
      <c r="AK148" s="18">
        <f>Z148-Z149</f>
        <v/>
      </c>
      <c r="AL148" s="18">
        <f>AB148-AB149</f>
        <v/>
      </c>
    </row>
    <row r="149">
      <c r="A149" s="16" t="n">
        <v>46091</v>
      </c>
      <c r="B149" s="17" t="n">
        <v>3.57</v>
      </c>
      <c r="C149" s="18">
        <f>(B149-B150)*100</f>
        <v/>
      </c>
      <c r="D149" s="17" t="n">
        <v>3.58</v>
      </c>
      <c r="E149" s="18">
        <f>(D149-D150)*100</f>
        <v/>
      </c>
      <c r="F149" s="17" t="n">
        <v>3.73</v>
      </c>
      <c r="G149" s="18">
        <f>(F149-F150)*100</f>
        <v/>
      </c>
      <c r="H149" s="17" t="n">
        <v>4.15</v>
      </c>
      <c r="I149" s="18">
        <f>(H149-H150)*100</f>
        <v/>
      </c>
      <c r="J149" s="17" t="n">
        <v>4.78</v>
      </c>
      <c r="K149" s="18">
        <f>(J149-J150)*100</f>
        <v/>
      </c>
      <c r="L149" s="18">
        <f>(F149-B149)*100</f>
        <v/>
      </c>
      <c r="M149" s="20">
        <f>(L149-$D$9)/$E$9</f>
        <v/>
      </c>
      <c r="N149" s="18">
        <f>(F149-D149)*100</f>
        <v/>
      </c>
      <c r="O149" s="20">
        <f>(N149-$D$10)/$E$10</f>
        <v/>
      </c>
      <c r="P149" s="18">
        <f>(H149-F149)*100</f>
        <v/>
      </c>
      <c r="Q149" s="20">
        <f>(P149-$D$11)/$E$11</f>
        <v/>
      </c>
      <c r="R149" s="18">
        <f>(J149-F149)*100</f>
        <v/>
      </c>
      <c r="S149" s="20">
        <f>(R149-$D$12)/$E$12</f>
        <v/>
      </c>
      <c r="T149" s="18">
        <f>(H149-B149)*100</f>
        <v/>
      </c>
      <c r="U149" s="20">
        <f>(T149-$D$13)/$E$13</f>
        <v/>
      </c>
      <c r="V149" s="18">
        <f>(H149-D149)*100</f>
        <v/>
      </c>
      <c r="W149" s="20">
        <f>(V149-$D$14)/$E$14</f>
        <v/>
      </c>
      <c r="X149" s="18">
        <f>(J149-H149)*100</f>
        <v/>
      </c>
      <c r="Y149" s="20">
        <f>(X149-$D$15)/$E$15</f>
        <v/>
      </c>
      <c r="Z149" s="18">
        <f>(J149-B149)*100</f>
        <v/>
      </c>
      <c r="AA149" s="20">
        <f>(Z149-$D$16)/$E$16</f>
        <v/>
      </c>
      <c r="AB149" s="18">
        <f>(2*F149-B149-H149)*100</f>
        <v/>
      </c>
      <c r="AC149" s="20">
        <f>(AB149-$D$17)/$E$17</f>
        <v/>
      </c>
      <c r="AD149" s="18">
        <f>L149-L150</f>
        <v/>
      </c>
      <c r="AE149" s="18">
        <f>N149-N150</f>
        <v/>
      </c>
      <c r="AF149" s="18">
        <f>P149-P150</f>
        <v/>
      </c>
      <c r="AG149" s="18">
        <f>R149-R150</f>
        <v/>
      </c>
      <c r="AH149" s="18">
        <f>T149-T150</f>
        <v/>
      </c>
      <c r="AI149" s="18">
        <f>V149-V150</f>
        <v/>
      </c>
      <c r="AJ149" s="18">
        <f>X149-X150</f>
        <v/>
      </c>
      <c r="AK149" s="18">
        <f>Z149-Z150</f>
        <v/>
      </c>
      <c r="AL149" s="18">
        <f>AB149-AB150</f>
        <v/>
      </c>
    </row>
    <row r="150">
      <c r="A150" s="16" t="n">
        <v>46090</v>
      </c>
      <c r="B150" s="17" t="n">
        <v>3.56</v>
      </c>
      <c r="C150" s="18">
        <f>(B150-B151)*100</f>
        <v/>
      </c>
      <c r="D150" s="17" t="n">
        <v>3.58</v>
      </c>
      <c r="E150" s="18">
        <f>(D150-D151)*100</f>
        <v/>
      </c>
      <c r="F150" s="17" t="n">
        <v>3.71</v>
      </c>
      <c r="G150" s="18">
        <f>(F150-F151)*100</f>
        <v/>
      </c>
      <c r="H150" s="17" t="n">
        <v>4.12</v>
      </c>
      <c r="I150" s="18">
        <f>(H150-H151)*100</f>
        <v/>
      </c>
      <c r="J150" s="17" t="n">
        <v>4.72</v>
      </c>
      <c r="K150" s="18">
        <f>(J150-J151)*100</f>
        <v/>
      </c>
      <c r="L150" s="18">
        <f>(F150-B150)*100</f>
        <v/>
      </c>
      <c r="M150" s="20">
        <f>(L150-$D$9)/$E$9</f>
        <v/>
      </c>
      <c r="N150" s="18">
        <f>(F150-D150)*100</f>
        <v/>
      </c>
      <c r="O150" s="20">
        <f>(N150-$D$10)/$E$10</f>
        <v/>
      </c>
      <c r="P150" s="18">
        <f>(H150-F150)*100</f>
        <v/>
      </c>
      <c r="Q150" s="20">
        <f>(P150-$D$11)/$E$11</f>
        <v/>
      </c>
      <c r="R150" s="18">
        <f>(J150-F150)*100</f>
        <v/>
      </c>
      <c r="S150" s="20">
        <f>(R150-$D$12)/$E$12</f>
        <v/>
      </c>
      <c r="T150" s="18">
        <f>(H150-B150)*100</f>
        <v/>
      </c>
      <c r="U150" s="20">
        <f>(T150-$D$13)/$E$13</f>
        <v/>
      </c>
      <c r="V150" s="18">
        <f>(H150-D150)*100</f>
        <v/>
      </c>
      <c r="W150" s="20">
        <f>(V150-$D$14)/$E$14</f>
        <v/>
      </c>
      <c r="X150" s="18">
        <f>(J150-H150)*100</f>
        <v/>
      </c>
      <c r="Y150" s="20">
        <f>(X150-$D$15)/$E$15</f>
        <v/>
      </c>
      <c r="Z150" s="18">
        <f>(J150-B150)*100</f>
        <v/>
      </c>
      <c r="AA150" s="20">
        <f>(Z150-$D$16)/$E$16</f>
        <v/>
      </c>
      <c r="AB150" s="18">
        <f>(2*F150-B150-H150)*100</f>
        <v/>
      </c>
      <c r="AC150" s="20">
        <f>(AB150-$D$17)/$E$17</f>
        <v/>
      </c>
      <c r="AD150" s="18">
        <f>L150-L151</f>
        <v/>
      </c>
      <c r="AE150" s="18">
        <f>N150-N151</f>
        <v/>
      </c>
      <c r="AF150" s="18">
        <f>P150-P151</f>
        <v/>
      </c>
      <c r="AG150" s="18">
        <f>R150-R151</f>
        <v/>
      </c>
      <c r="AH150" s="18">
        <f>T150-T151</f>
        <v/>
      </c>
      <c r="AI150" s="18">
        <f>V150-V151</f>
        <v/>
      </c>
      <c r="AJ150" s="18">
        <f>X150-X151</f>
        <v/>
      </c>
      <c r="AK150" s="18">
        <f>Z150-Z151</f>
        <v/>
      </c>
      <c r="AL150" s="18">
        <f>AB150-AB151</f>
        <v/>
      </c>
    </row>
    <row r="151">
      <c r="A151" s="16" t="n">
        <v>46087</v>
      </c>
      <c r="B151" s="17" t="n">
        <v>3.56</v>
      </c>
      <c r="C151" s="18">
        <f>(B151-B152)*100</f>
        <v/>
      </c>
      <c r="D151" s="17" t="n">
        <v>3.59</v>
      </c>
      <c r="E151" s="18">
        <f>(D151-D152)*100</f>
        <v/>
      </c>
      <c r="F151" s="17" t="n">
        <v>3.72</v>
      </c>
      <c r="G151" s="18">
        <f>(F151-F152)*100</f>
        <v/>
      </c>
      <c r="H151" s="17" t="n">
        <v>4.15</v>
      </c>
      <c r="I151" s="18">
        <f>(H151-H152)*100</f>
        <v/>
      </c>
      <c r="J151" s="17" t="n">
        <v>4.77</v>
      </c>
      <c r="K151" s="18">
        <f>(J151-J152)*100</f>
        <v/>
      </c>
      <c r="L151" s="18">
        <f>(F151-B151)*100</f>
        <v/>
      </c>
      <c r="M151" s="20">
        <f>(L151-$D$9)/$E$9</f>
        <v/>
      </c>
      <c r="N151" s="18">
        <f>(F151-D151)*100</f>
        <v/>
      </c>
      <c r="O151" s="20">
        <f>(N151-$D$10)/$E$10</f>
        <v/>
      </c>
      <c r="P151" s="18">
        <f>(H151-F151)*100</f>
        <v/>
      </c>
      <c r="Q151" s="20">
        <f>(P151-$D$11)/$E$11</f>
        <v/>
      </c>
      <c r="R151" s="18">
        <f>(J151-F151)*100</f>
        <v/>
      </c>
      <c r="S151" s="20">
        <f>(R151-$D$12)/$E$12</f>
        <v/>
      </c>
      <c r="T151" s="18">
        <f>(H151-B151)*100</f>
        <v/>
      </c>
      <c r="U151" s="20">
        <f>(T151-$D$13)/$E$13</f>
        <v/>
      </c>
      <c r="V151" s="18">
        <f>(H151-D151)*100</f>
        <v/>
      </c>
      <c r="W151" s="20">
        <f>(V151-$D$14)/$E$14</f>
        <v/>
      </c>
      <c r="X151" s="18">
        <f>(J151-H151)*100</f>
        <v/>
      </c>
      <c r="Y151" s="20">
        <f>(X151-$D$15)/$E$15</f>
        <v/>
      </c>
      <c r="Z151" s="18">
        <f>(J151-B151)*100</f>
        <v/>
      </c>
      <c r="AA151" s="20">
        <f>(Z151-$D$16)/$E$16</f>
        <v/>
      </c>
      <c r="AB151" s="18">
        <f>(2*F151-B151-H151)*100</f>
        <v/>
      </c>
      <c r="AC151" s="20">
        <f>(AB151-$D$17)/$E$17</f>
        <v/>
      </c>
      <c r="AD151" s="18">
        <f>L151-L152</f>
        <v/>
      </c>
      <c r="AE151" s="18">
        <f>N151-N152</f>
        <v/>
      </c>
      <c r="AF151" s="18">
        <f>P151-P152</f>
        <v/>
      </c>
      <c r="AG151" s="18">
        <f>R151-R152</f>
        <v/>
      </c>
      <c r="AH151" s="18">
        <f>T151-T152</f>
        <v/>
      </c>
      <c r="AI151" s="18">
        <f>V151-V152</f>
        <v/>
      </c>
      <c r="AJ151" s="18">
        <f>X151-X152</f>
        <v/>
      </c>
      <c r="AK151" s="18">
        <f>Z151-Z152</f>
        <v/>
      </c>
      <c r="AL151" s="18">
        <f>AB151-AB152</f>
        <v/>
      </c>
    </row>
    <row r="152">
      <c r="A152" s="16" t="n">
        <v>46086</v>
      </c>
      <c r="B152" s="17" t="n">
        <v>3.57</v>
      </c>
      <c r="C152" s="18">
        <f>(B152-B153)*100</f>
        <v/>
      </c>
      <c r="D152" s="17" t="n">
        <v>3.59</v>
      </c>
      <c r="E152" s="18">
        <f>(D152-D153)*100</f>
        <v/>
      </c>
      <c r="F152" s="17" t="n">
        <v>3.72</v>
      </c>
      <c r="G152" s="18">
        <f>(F152-F153)*100</f>
        <v/>
      </c>
      <c r="H152" s="17" t="n">
        <v>4.13</v>
      </c>
      <c r="I152" s="18">
        <f>(H152-H153)*100</f>
        <v/>
      </c>
      <c r="J152" s="17" t="n">
        <v>4.74</v>
      </c>
      <c r="K152" s="18">
        <f>(J152-J153)*100</f>
        <v/>
      </c>
      <c r="L152" s="18">
        <f>(F152-B152)*100</f>
        <v/>
      </c>
      <c r="M152" s="20">
        <f>(L152-$D$9)/$E$9</f>
        <v/>
      </c>
      <c r="N152" s="18">
        <f>(F152-D152)*100</f>
        <v/>
      </c>
      <c r="O152" s="20">
        <f>(N152-$D$10)/$E$10</f>
        <v/>
      </c>
      <c r="P152" s="18">
        <f>(H152-F152)*100</f>
        <v/>
      </c>
      <c r="Q152" s="20">
        <f>(P152-$D$11)/$E$11</f>
        <v/>
      </c>
      <c r="R152" s="18">
        <f>(J152-F152)*100</f>
        <v/>
      </c>
      <c r="S152" s="20">
        <f>(R152-$D$12)/$E$12</f>
        <v/>
      </c>
      <c r="T152" s="18">
        <f>(H152-B152)*100</f>
        <v/>
      </c>
      <c r="U152" s="20">
        <f>(T152-$D$13)/$E$13</f>
        <v/>
      </c>
      <c r="V152" s="18">
        <f>(H152-D152)*100</f>
        <v/>
      </c>
      <c r="W152" s="20">
        <f>(V152-$D$14)/$E$14</f>
        <v/>
      </c>
      <c r="X152" s="18">
        <f>(J152-H152)*100</f>
        <v/>
      </c>
      <c r="Y152" s="20">
        <f>(X152-$D$15)/$E$15</f>
        <v/>
      </c>
      <c r="Z152" s="18">
        <f>(J152-B152)*100</f>
        <v/>
      </c>
      <c r="AA152" s="20">
        <f>(Z152-$D$16)/$E$16</f>
        <v/>
      </c>
      <c r="AB152" s="18">
        <f>(2*F152-B152-H152)*100</f>
        <v/>
      </c>
      <c r="AC152" s="20">
        <f>(AB152-$D$17)/$E$17</f>
        <v/>
      </c>
      <c r="AD152" s="18">
        <f>L152-L153</f>
        <v/>
      </c>
      <c r="AE152" s="18">
        <f>N152-N153</f>
        <v/>
      </c>
      <c r="AF152" s="18">
        <f>P152-P153</f>
        <v/>
      </c>
      <c r="AG152" s="18">
        <f>R152-R153</f>
        <v/>
      </c>
      <c r="AH152" s="18">
        <f>T152-T153</f>
        <v/>
      </c>
      <c r="AI152" s="18">
        <f>V152-V153</f>
        <v/>
      </c>
      <c r="AJ152" s="18">
        <f>X152-X153</f>
        <v/>
      </c>
      <c r="AK152" s="18">
        <f>Z152-Z153</f>
        <v/>
      </c>
      <c r="AL152" s="18">
        <f>AB152-AB153</f>
        <v/>
      </c>
    </row>
    <row r="153">
      <c r="A153" s="16" t="n">
        <v>46085</v>
      </c>
      <c r="B153" s="17" t="n">
        <v>3.54</v>
      </c>
      <c r="C153" s="18">
        <f>(B153-B154)*100</f>
        <v/>
      </c>
      <c r="D153" s="17" t="n">
        <v>3.55</v>
      </c>
      <c r="E153" s="18">
        <f>(D153-D154)*100</f>
        <v/>
      </c>
      <c r="F153" s="17" t="n">
        <v>3.67</v>
      </c>
      <c r="G153" s="18">
        <f>(F153-F154)*100</f>
        <v/>
      </c>
      <c r="H153" s="17" t="n">
        <v>4.09</v>
      </c>
      <c r="I153" s="18">
        <f>(H153-H154)*100</f>
        <v/>
      </c>
      <c r="J153" s="17" t="n">
        <v>4.72</v>
      </c>
      <c r="K153" s="18">
        <f>(J153-J154)*100</f>
        <v/>
      </c>
      <c r="L153" s="18">
        <f>(F153-B153)*100</f>
        <v/>
      </c>
      <c r="M153" s="20">
        <f>(L153-$D$9)/$E$9</f>
        <v/>
      </c>
      <c r="N153" s="18">
        <f>(F153-D153)*100</f>
        <v/>
      </c>
      <c r="O153" s="20">
        <f>(N153-$D$10)/$E$10</f>
        <v/>
      </c>
      <c r="P153" s="18">
        <f>(H153-F153)*100</f>
        <v/>
      </c>
      <c r="Q153" s="20">
        <f>(P153-$D$11)/$E$11</f>
        <v/>
      </c>
      <c r="R153" s="18">
        <f>(J153-F153)*100</f>
        <v/>
      </c>
      <c r="S153" s="20">
        <f>(R153-$D$12)/$E$12</f>
        <v/>
      </c>
      <c r="T153" s="18">
        <f>(H153-B153)*100</f>
        <v/>
      </c>
      <c r="U153" s="20">
        <f>(T153-$D$13)/$E$13</f>
        <v/>
      </c>
      <c r="V153" s="18">
        <f>(H153-D153)*100</f>
        <v/>
      </c>
      <c r="W153" s="20">
        <f>(V153-$D$14)/$E$14</f>
        <v/>
      </c>
      <c r="X153" s="18">
        <f>(J153-H153)*100</f>
        <v/>
      </c>
      <c r="Y153" s="20">
        <f>(X153-$D$15)/$E$15</f>
        <v/>
      </c>
      <c r="Z153" s="18">
        <f>(J153-B153)*100</f>
        <v/>
      </c>
      <c r="AA153" s="20">
        <f>(Z153-$D$16)/$E$16</f>
        <v/>
      </c>
      <c r="AB153" s="18">
        <f>(2*F153-B153-H153)*100</f>
        <v/>
      </c>
      <c r="AC153" s="20">
        <f>(AB153-$D$17)/$E$17</f>
        <v/>
      </c>
      <c r="AD153" s="18">
        <f>L153-L154</f>
        <v/>
      </c>
      <c r="AE153" s="18">
        <f>N153-N154</f>
        <v/>
      </c>
      <c r="AF153" s="18">
        <f>P153-P154</f>
        <v/>
      </c>
      <c r="AG153" s="18">
        <f>R153-R154</f>
        <v/>
      </c>
      <c r="AH153" s="18">
        <f>T153-T154</f>
        <v/>
      </c>
      <c r="AI153" s="18">
        <f>V153-V154</f>
        <v/>
      </c>
      <c r="AJ153" s="18">
        <f>X153-X154</f>
        <v/>
      </c>
      <c r="AK153" s="18">
        <f>Z153-Z154</f>
        <v/>
      </c>
      <c r="AL153" s="18">
        <f>AB153-AB154</f>
        <v/>
      </c>
    </row>
    <row r="154">
      <c r="A154" s="16" t="n">
        <v>46084</v>
      </c>
      <c r="B154" s="17" t="n">
        <v>3.51</v>
      </c>
      <c r="C154" s="18">
        <f>(B154-B155)*100</f>
        <v/>
      </c>
      <c r="D154" s="17" t="n">
        <v>3.5</v>
      </c>
      <c r="E154" s="18">
        <f>(D154-D155)*100</f>
        <v/>
      </c>
      <c r="F154" s="17" t="n">
        <v>3.63</v>
      </c>
      <c r="G154" s="18">
        <f>(F154-F155)*100</f>
        <v/>
      </c>
      <c r="H154" s="17" t="n">
        <v>4.06</v>
      </c>
      <c r="I154" s="18">
        <f>(H154-H155)*100</f>
        <v/>
      </c>
      <c r="J154" s="17" t="n">
        <v>4.7</v>
      </c>
      <c r="K154" s="18">
        <f>(J154-J155)*100</f>
        <v/>
      </c>
      <c r="L154" s="18">
        <f>(F154-B154)*100</f>
        <v/>
      </c>
      <c r="M154" s="20">
        <f>(L154-$D$9)/$E$9</f>
        <v/>
      </c>
      <c r="N154" s="18">
        <f>(F154-D154)*100</f>
        <v/>
      </c>
      <c r="O154" s="20">
        <f>(N154-$D$10)/$E$10</f>
        <v/>
      </c>
      <c r="P154" s="18">
        <f>(H154-F154)*100</f>
        <v/>
      </c>
      <c r="Q154" s="20">
        <f>(P154-$D$11)/$E$11</f>
        <v/>
      </c>
      <c r="R154" s="18">
        <f>(J154-F154)*100</f>
        <v/>
      </c>
      <c r="S154" s="20">
        <f>(R154-$D$12)/$E$12</f>
        <v/>
      </c>
      <c r="T154" s="18">
        <f>(H154-B154)*100</f>
        <v/>
      </c>
      <c r="U154" s="20">
        <f>(T154-$D$13)/$E$13</f>
        <v/>
      </c>
      <c r="V154" s="18">
        <f>(H154-D154)*100</f>
        <v/>
      </c>
      <c r="W154" s="20">
        <f>(V154-$D$14)/$E$14</f>
        <v/>
      </c>
      <c r="X154" s="18">
        <f>(J154-H154)*100</f>
        <v/>
      </c>
      <c r="Y154" s="20">
        <f>(X154-$D$15)/$E$15</f>
        <v/>
      </c>
      <c r="Z154" s="18">
        <f>(J154-B154)*100</f>
        <v/>
      </c>
      <c r="AA154" s="20">
        <f>(Z154-$D$16)/$E$16</f>
        <v/>
      </c>
      <c r="AB154" s="18">
        <f>(2*F154-B154-H154)*100</f>
        <v/>
      </c>
      <c r="AC154" s="20">
        <f>(AB154-$D$17)/$E$17</f>
        <v/>
      </c>
      <c r="AD154" s="18">
        <f>L154-L155</f>
        <v/>
      </c>
      <c r="AE154" s="18">
        <f>N154-N155</f>
        <v/>
      </c>
      <c r="AF154" s="18">
        <f>P154-P155</f>
        <v/>
      </c>
      <c r="AG154" s="18">
        <f>R154-R155</f>
        <v/>
      </c>
      <c r="AH154" s="18">
        <f>T154-T155</f>
        <v/>
      </c>
      <c r="AI154" s="18">
        <f>V154-V155</f>
        <v/>
      </c>
      <c r="AJ154" s="18">
        <f>X154-X155</f>
        <v/>
      </c>
      <c r="AK154" s="18">
        <f>Z154-Z155</f>
        <v/>
      </c>
      <c r="AL154" s="18">
        <f>AB154-AB155</f>
        <v/>
      </c>
    </row>
    <row r="155">
      <c r="A155" s="16" t="n">
        <v>46083</v>
      </c>
      <c r="B155" s="17" t="n">
        <v>3.47</v>
      </c>
      <c r="C155" s="18">
        <f>(B155-B156)*100</f>
        <v/>
      </c>
      <c r="D155" s="17" t="n">
        <v>3.49</v>
      </c>
      <c r="E155" s="18">
        <f>(D155-D156)*100</f>
        <v/>
      </c>
      <c r="F155" s="17" t="n">
        <v>3.62</v>
      </c>
      <c r="G155" s="18">
        <f>(F155-F156)*100</f>
        <v/>
      </c>
      <c r="H155" s="17" t="n">
        <v>4.05</v>
      </c>
      <c r="I155" s="18">
        <f>(H155-H156)*100</f>
        <v/>
      </c>
      <c r="J155" s="17" t="n">
        <v>4.7</v>
      </c>
      <c r="K155" s="18">
        <f>(J155-J156)*100</f>
        <v/>
      </c>
      <c r="L155" s="18">
        <f>(F155-B155)*100</f>
        <v/>
      </c>
      <c r="M155" s="20">
        <f>(L155-$D$9)/$E$9</f>
        <v/>
      </c>
      <c r="N155" s="18">
        <f>(F155-D155)*100</f>
        <v/>
      </c>
      <c r="O155" s="20">
        <f>(N155-$D$10)/$E$10</f>
        <v/>
      </c>
      <c r="P155" s="18">
        <f>(H155-F155)*100</f>
        <v/>
      </c>
      <c r="Q155" s="20">
        <f>(P155-$D$11)/$E$11</f>
        <v/>
      </c>
      <c r="R155" s="18">
        <f>(J155-F155)*100</f>
        <v/>
      </c>
      <c r="S155" s="20">
        <f>(R155-$D$12)/$E$12</f>
        <v/>
      </c>
      <c r="T155" s="18">
        <f>(H155-B155)*100</f>
        <v/>
      </c>
      <c r="U155" s="20">
        <f>(T155-$D$13)/$E$13</f>
        <v/>
      </c>
      <c r="V155" s="18">
        <f>(H155-D155)*100</f>
        <v/>
      </c>
      <c r="W155" s="20">
        <f>(V155-$D$14)/$E$14</f>
        <v/>
      </c>
      <c r="X155" s="18">
        <f>(J155-H155)*100</f>
        <v/>
      </c>
      <c r="Y155" s="20">
        <f>(X155-$D$15)/$E$15</f>
        <v/>
      </c>
      <c r="Z155" s="18">
        <f>(J155-B155)*100</f>
        <v/>
      </c>
      <c r="AA155" s="20">
        <f>(Z155-$D$16)/$E$16</f>
        <v/>
      </c>
      <c r="AB155" s="18">
        <f>(2*F155-B155-H155)*100</f>
        <v/>
      </c>
      <c r="AC155" s="20">
        <f>(AB155-$D$17)/$E$17</f>
        <v/>
      </c>
      <c r="AD155" s="18">
        <f>L155-L156</f>
        <v/>
      </c>
      <c r="AE155" s="18">
        <f>N155-N156</f>
        <v/>
      </c>
      <c r="AF155" s="18">
        <f>P155-P156</f>
        <v/>
      </c>
      <c r="AG155" s="18">
        <f>R155-R156</f>
        <v/>
      </c>
      <c r="AH155" s="18">
        <f>T155-T156</f>
        <v/>
      </c>
      <c r="AI155" s="18">
        <f>V155-V156</f>
        <v/>
      </c>
      <c r="AJ155" s="18">
        <f>X155-X156</f>
        <v/>
      </c>
      <c r="AK155" s="18">
        <f>Z155-Z156</f>
        <v/>
      </c>
      <c r="AL155" s="18">
        <f>AB155-AB156</f>
        <v/>
      </c>
    </row>
    <row r="156">
      <c r="A156" s="16" t="n">
        <v>46080</v>
      </c>
      <c r="B156" s="17" t="n">
        <v>3.38</v>
      </c>
      <c r="C156" s="18">
        <f>(B156-B157)*100</f>
        <v/>
      </c>
      <c r="D156" s="17" t="n">
        <v>3.39</v>
      </c>
      <c r="E156" s="18">
        <f>(D156-D157)*100</f>
        <v/>
      </c>
      <c r="F156" s="17" t="n">
        <v>3.51</v>
      </c>
      <c r="G156" s="18">
        <f>(F156-F157)*100</f>
        <v/>
      </c>
      <c r="H156" s="17" t="n">
        <v>3.97</v>
      </c>
      <c r="I156" s="18">
        <f>(H156-H157)*100</f>
        <v/>
      </c>
      <c r="J156" s="17" t="n">
        <v>4.64</v>
      </c>
      <c r="K156" s="18">
        <f>(J156-J157)*100</f>
        <v/>
      </c>
      <c r="L156" s="18">
        <f>(F156-B156)*100</f>
        <v/>
      </c>
      <c r="M156" s="20">
        <f>(L156-$D$9)/$E$9</f>
        <v/>
      </c>
      <c r="N156" s="18">
        <f>(F156-D156)*100</f>
        <v/>
      </c>
      <c r="O156" s="20">
        <f>(N156-$D$10)/$E$10</f>
        <v/>
      </c>
      <c r="P156" s="18">
        <f>(H156-F156)*100</f>
        <v/>
      </c>
      <c r="Q156" s="20">
        <f>(P156-$D$11)/$E$11</f>
        <v/>
      </c>
      <c r="R156" s="18">
        <f>(J156-F156)*100</f>
        <v/>
      </c>
      <c r="S156" s="20">
        <f>(R156-$D$12)/$E$12</f>
        <v/>
      </c>
      <c r="T156" s="18">
        <f>(H156-B156)*100</f>
        <v/>
      </c>
      <c r="U156" s="20">
        <f>(T156-$D$13)/$E$13</f>
        <v/>
      </c>
      <c r="V156" s="18">
        <f>(H156-D156)*100</f>
        <v/>
      </c>
      <c r="W156" s="20">
        <f>(V156-$D$14)/$E$14</f>
        <v/>
      </c>
      <c r="X156" s="18">
        <f>(J156-H156)*100</f>
        <v/>
      </c>
      <c r="Y156" s="20">
        <f>(X156-$D$15)/$E$15</f>
        <v/>
      </c>
      <c r="Z156" s="18">
        <f>(J156-B156)*100</f>
        <v/>
      </c>
      <c r="AA156" s="20">
        <f>(Z156-$D$16)/$E$16</f>
        <v/>
      </c>
      <c r="AB156" s="18">
        <f>(2*F156-B156-H156)*100</f>
        <v/>
      </c>
      <c r="AC156" s="20">
        <f>(AB156-$D$17)/$E$17</f>
        <v/>
      </c>
      <c r="AD156" s="18">
        <f>L156-L157</f>
        <v/>
      </c>
      <c r="AE156" s="18">
        <f>N156-N157</f>
        <v/>
      </c>
      <c r="AF156" s="18">
        <f>P156-P157</f>
        <v/>
      </c>
      <c r="AG156" s="18">
        <f>R156-R157</f>
        <v/>
      </c>
      <c r="AH156" s="18">
        <f>T156-T157</f>
        <v/>
      </c>
      <c r="AI156" s="18">
        <f>V156-V157</f>
        <v/>
      </c>
      <c r="AJ156" s="18">
        <f>X156-X157</f>
        <v/>
      </c>
      <c r="AK156" s="18">
        <f>Z156-Z157</f>
        <v/>
      </c>
      <c r="AL156" s="18">
        <f>AB156-AB157</f>
        <v/>
      </c>
    </row>
    <row r="157">
      <c r="A157" s="16" t="n">
        <v>46079</v>
      </c>
      <c r="B157" s="17" t="n">
        <v>3.42</v>
      </c>
      <c r="C157" s="18">
        <f>(B157-B158)*100</f>
        <v/>
      </c>
      <c r="D157" s="17" t="n">
        <v>3.46</v>
      </c>
      <c r="E157" s="18">
        <f>(D157-D158)*100</f>
        <v/>
      </c>
      <c r="F157" s="17" t="n">
        <v>3.57</v>
      </c>
      <c r="G157" s="18">
        <f>(F157-F158)*100</f>
        <v/>
      </c>
      <c r="H157" s="17" t="n">
        <v>4.02</v>
      </c>
      <c r="I157" s="18">
        <f>(H157-H158)*100</f>
        <v/>
      </c>
      <c r="J157" s="17" t="n">
        <v>4.67</v>
      </c>
      <c r="K157" s="18">
        <f>(J157-J158)*100</f>
        <v/>
      </c>
      <c r="L157" s="18">
        <f>(F157-B157)*100</f>
        <v/>
      </c>
      <c r="M157" s="20">
        <f>(L157-$D$9)/$E$9</f>
        <v/>
      </c>
      <c r="N157" s="18">
        <f>(F157-D157)*100</f>
        <v/>
      </c>
      <c r="O157" s="20">
        <f>(N157-$D$10)/$E$10</f>
        <v/>
      </c>
      <c r="P157" s="18">
        <f>(H157-F157)*100</f>
        <v/>
      </c>
      <c r="Q157" s="20">
        <f>(P157-$D$11)/$E$11</f>
        <v/>
      </c>
      <c r="R157" s="18">
        <f>(J157-F157)*100</f>
        <v/>
      </c>
      <c r="S157" s="20">
        <f>(R157-$D$12)/$E$12</f>
        <v/>
      </c>
      <c r="T157" s="18">
        <f>(H157-B157)*100</f>
        <v/>
      </c>
      <c r="U157" s="20">
        <f>(T157-$D$13)/$E$13</f>
        <v/>
      </c>
      <c r="V157" s="18">
        <f>(H157-D157)*100</f>
        <v/>
      </c>
      <c r="W157" s="20">
        <f>(V157-$D$14)/$E$14</f>
        <v/>
      </c>
      <c r="X157" s="18">
        <f>(J157-H157)*100</f>
        <v/>
      </c>
      <c r="Y157" s="20">
        <f>(X157-$D$15)/$E$15</f>
        <v/>
      </c>
      <c r="Z157" s="18">
        <f>(J157-B157)*100</f>
        <v/>
      </c>
      <c r="AA157" s="20">
        <f>(Z157-$D$16)/$E$16</f>
        <v/>
      </c>
      <c r="AB157" s="18">
        <f>(2*F157-B157-H157)*100</f>
        <v/>
      </c>
      <c r="AC157" s="20">
        <f>(AB157-$D$17)/$E$17</f>
        <v/>
      </c>
      <c r="AD157" s="18">
        <f>L157-L158</f>
        <v/>
      </c>
      <c r="AE157" s="18">
        <f>N157-N158</f>
        <v/>
      </c>
      <c r="AF157" s="18">
        <f>P157-P158</f>
        <v/>
      </c>
      <c r="AG157" s="18">
        <f>R157-R158</f>
        <v/>
      </c>
      <c r="AH157" s="18">
        <f>T157-T158</f>
        <v/>
      </c>
      <c r="AI157" s="18">
        <f>V157-V158</f>
        <v/>
      </c>
      <c r="AJ157" s="18">
        <f>X157-X158</f>
        <v/>
      </c>
      <c r="AK157" s="18">
        <f>Z157-Z158</f>
        <v/>
      </c>
      <c r="AL157" s="18">
        <f>AB157-AB158</f>
        <v/>
      </c>
    </row>
    <row r="158">
      <c r="A158" s="16" t="n">
        <v>46078</v>
      </c>
      <c r="B158" s="17" t="n">
        <v>3.45</v>
      </c>
      <c r="C158" s="18">
        <f>(B158-B159)*100</f>
        <v/>
      </c>
      <c r="D158" s="17" t="n">
        <v>3.49</v>
      </c>
      <c r="E158" s="18">
        <f>(D158-D159)*100</f>
        <v/>
      </c>
      <c r="F158" s="17" t="n">
        <v>3.61</v>
      </c>
      <c r="G158" s="18">
        <f>(F158-F159)*100</f>
        <v/>
      </c>
      <c r="H158" s="17" t="n">
        <v>4.05</v>
      </c>
      <c r="I158" s="18">
        <f>(H158-H159)*100</f>
        <v/>
      </c>
      <c r="J158" s="17" t="n">
        <v>4.7</v>
      </c>
      <c r="K158" s="18">
        <f>(J158-J159)*100</f>
        <v/>
      </c>
      <c r="L158" s="18">
        <f>(F158-B158)*100</f>
        <v/>
      </c>
      <c r="M158" s="20">
        <f>(L158-$D$9)/$E$9</f>
        <v/>
      </c>
      <c r="N158" s="18">
        <f>(F158-D158)*100</f>
        <v/>
      </c>
      <c r="O158" s="20">
        <f>(N158-$D$10)/$E$10</f>
        <v/>
      </c>
      <c r="P158" s="18">
        <f>(H158-F158)*100</f>
        <v/>
      </c>
      <c r="Q158" s="20">
        <f>(P158-$D$11)/$E$11</f>
        <v/>
      </c>
      <c r="R158" s="18">
        <f>(J158-F158)*100</f>
        <v/>
      </c>
      <c r="S158" s="20">
        <f>(R158-$D$12)/$E$12</f>
        <v/>
      </c>
      <c r="T158" s="18">
        <f>(H158-B158)*100</f>
        <v/>
      </c>
      <c r="U158" s="20">
        <f>(T158-$D$13)/$E$13</f>
        <v/>
      </c>
      <c r="V158" s="18">
        <f>(H158-D158)*100</f>
        <v/>
      </c>
      <c r="W158" s="20">
        <f>(V158-$D$14)/$E$14</f>
        <v/>
      </c>
      <c r="X158" s="18">
        <f>(J158-H158)*100</f>
        <v/>
      </c>
      <c r="Y158" s="20">
        <f>(X158-$D$15)/$E$15</f>
        <v/>
      </c>
      <c r="Z158" s="18">
        <f>(J158-B158)*100</f>
        <v/>
      </c>
      <c r="AA158" s="20">
        <f>(Z158-$D$16)/$E$16</f>
        <v/>
      </c>
      <c r="AB158" s="18">
        <f>(2*F158-B158-H158)*100</f>
        <v/>
      </c>
      <c r="AC158" s="20">
        <f>(AB158-$D$17)/$E$17</f>
        <v/>
      </c>
      <c r="AD158" s="18">
        <f>L158-L159</f>
        <v/>
      </c>
      <c r="AE158" s="18">
        <f>N158-N159</f>
        <v/>
      </c>
      <c r="AF158" s="18">
        <f>P158-P159</f>
        <v/>
      </c>
      <c r="AG158" s="18">
        <f>R158-R159</f>
        <v/>
      </c>
      <c r="AH158" s="18">
        <f>T158-T159</f>
        <v/>
      </c>
      <c r="AI158" s="18">
        <f>V158-V159</f>
        <v/>
      </c>
      <c r="AJ158" s="18">
        <f>X158-X159</f>
        <v/>
      </c>
      <c r="AK158" s="18">
        <f>Z158-Z159</f>
        <v/>
      </c>
      <c r="AL158" s="18">
        <f>AB158-AB159</f>
        <v/>
      </c>
    </row>
    <row r="159">
      <c r="A159" s="16" t="n">
        <v>46077</v>
      </c>
      <c r="B159" s="17" t="n">
        <v>3.43</v>
      </c>
      <c r="C159" s="18">
        <f>(B159-B160)*100</f>
        <v/>
      </c>
      <c r="D159" s="17" t="n">
        <v>3.47</v>
      </c>
      <c r="E159" s="18">
        <f>(D159-D160)*100</f>
        <v/>
      </c>
      <c r="F159" s="17" t="n">
        <v>3.61</v>
      </c>
      <c r="G159" s="18">
        <f>(F159-F160)*100</f>
        <v/>
      </c>
      <c r="H159" s="17" t="n">
        <v>4.04</v>
      </c>
      <c r="I159" s="18">
        <f>(H159-H160)*100</f>
        <v/>
      </c>
      <c r="J159" s="17" t="n">
        <v>4.7</v>
      </c>
      <c r="K159" s="18">
        <f>(J159-J160)*100</f>
        <v/>
      </c>
      <c r="L159" s="18">
        <f>(F159-B159)*100</f>
        <v/>
      </c>
      <c r="M159" s="20">
        <f>(L159-$D$9)/$E$9</f>
        <v/>
      </c>
      <c r="N159" s="18">
        <f>(F159-D159)*100</f>
        <v/>
      </c>
      <c r="O159" s="20">
        <f>(N159-$D$10)/$E$10</f>
        <v/>
      </c>
      <c r="P159" s="18">
        <f>(H159-F159)*100</f>
        <v/>
      </c>
      <c r="Q159" s="20">
        <f>(P159-$D$11)/$E$11</f>
        <v/>
      </c>
      <c r="R159" s="18">
        <f>(J159-F159)*100</f>
        <v/>
      </c>
      <c r="S159" s="20">
        <f>(R159-$D$12)/$E$12</f>
        <v/>
      </c>
      <c r="T159" s="18">
        <f>(H159-B159)*100</f>
        <v/>
      </c>
      <c r="U159" s="20">
        <f>(T159-$D$13)/$E$13</f>
        <v/>
      </c>
      <c r="V159" s="18">
        <f>(H159-D159)*100</f>
        <v/>
      </c>
      <c r="W159" s="20">
        <f>(V159-$D$14)/$E$14</f>
        <v/>
      </c>
      <c r="X159" s="18">
        <f>(J159-H159)*100</f>
        <v/>
      </c>
      <c r="Y159" s="20">
        <f>(X159-$D$15)/$E$15</f>
        <v/>
      </c>
      <c r="Z159" s="18">
        <f>(J159-B159)*100</f>
        <v/>
      </c>
      <c r="AA159" s="20">
        <f>(Z159-$D$16)/$E$16</f>
        <v/>
      </c>
      <c r="AB159" s="18">
        <f>(2*F159-B159-H159)*100</f>
        <v/>
      </c>
      <c r="AC159" s="20">
        <f>(AB159-$D$17)/$E$17</f>
        <v/>
      </c>
      <c r="AD159" s="18">
        <f>L159-L160</f>
        <v/>
      </c>
      <c r="AE159" s="18">
        <f>N159-N160</f>
        <v/>
      </c>
      <c r="AF159" s="18">
        <f>P159-P160</f>
        <v/>
      </c>
      <c r="AG159" s="18">
        <f>R159-R160</f>
        <v/>
      </c>
      <c r="AH159" s="18">
        <f>T159-T160</f>
        <v/>
      </c>
      <c r="AI159" s="18">
        <f>V159-V160</f>
        <v/>
      </c>
      <c r="AJ159" s="18">
        <f>X159-X160</f>
        <v/>
      </c>
      <c r="AK159" s="18">
        <f>Z159-Z160</f>
        <v/>
      </c>
      <c r="AL159" s="18">
        <f>AB159-AB160</f>
        <v/>
      </c>
    </row>
    <row r="160">
      <c r="A160" s="16" t="n">
        <v>46076</v>
      </c>
      <c r="B160" s="17" t="n">
        <v>3.43</v>
      </c>
      <c r="C160" s="18">
        <f>(B160-B161)*100</f>
        <v/>
      </c>
      <c r="D160" s="17" t="n">
        <v>3.45</v>
      </c>
      <c r="E160" s="18">
        <f>(D160-D161)*100</f>
        <v/>
      </c>
      <c r="F160" s="17" t="n">
        <v>3.59</v>
      </c>
      <c r="G160" s="18">
        <f>(F160-F161)*100</f>
        <v/>
      </c>
      <c r="H160" s="17" t="n">
        <v>4.03</v>
      </c>
      <c r="I160" s="18">
        <f>(H160-H161)*100</f>
        <v/>
      </c>
      <c r="J160" s="17" t="n">
        <v>4.7</v>
      </c>
      <c r="K160" s="18">
        <f>(J160-J161)*100</f>
        <v/>
      </c>
      <c r="L160" s="18">
        <f>(F160-B160)*100</f>
        <v/>
      </c>
      <c r="M160" s="20">
        <f>(L160-$D$9)/$E$9</f>
        <v/>
      </c>
      <c r="N160" s="18">
        <f>(F160-D160)*100</f>
        <v/>
      </c>
      <c r="O160" s="20">
        <f>(N160-$D$10)/$E$10</f>
        <v/>
      </c>
      <c r="P160" s="18">
        <f>(H160-F160)*100</f>
        <v/>
      </c>
      <c r="Q160" s="20">
        <f>(P160-$D$11)/$E$11</f>
        <v/>
      </c>
      <c r="R160" s="18">
        <f>(J160-F160)*100</f>
        <v/>
      </c>
      <c r="S160" s="20">
        <f>(R160-$D$12)/$E$12</f>
        <v/>
      </c>
      <c r="T160" s="18">
        <f>(H160-B160)*100</f>
        <v/>
      </c>
      <c r="U160" s="20">
        <f>(T160-$D$13)/$E$13</f>
        <v/>
      </c>
      <c r="V160" s="18">
        <f>(H160-D160)*100</f>
        <v/>
      </c>
      <c r="W160" s="20">
        <f>(V160-$D$14)/$E$14</f>
        <v/>
      </c>
      <c r="X160" s="18">
        <f>(J160-H160)*100</f>
        <v/>
      </c>
      <c r="Y160" s="20">
        <f>(X160-$D$15)/$E$15</f>
        <v/>
      </c>
      <c r="Z160" s="18">
        <f>(J160-B160)*100</f>
        <v/>
      </c>
      <c r="AA160" s="20">
        <f>(Z160-$D$16)/$E$16</f>
        <v/>
      </c>
      <c r="AB160" s="18">
        <f>(2*F160-B160-H160)*100</f>
        <v/>
      </c>
      <c r="AC160" s="20">
        <f>(AB160-$D$17)/$E$17</f>
        <v/>
      </c>
      <c r="AD160" s="18">
        <f>L160-L161</f>
        <v/>
      </c>
      <c r="AE160" s="18">
        <f>N160-N161</f>
        <v/>
      </c>
      <c r="AF160" s="18">
        <f>P160-P161</f>
        <v/>
      </c>
      <c r="AG160" s="18">
        <f>R160-R161</f>
        <v/>
      </c>
      <c r="AH160" s="18">
        <f>T160-T161</f>
        <v/>
      </c>
      <c r="AI160" s="18">
        <f>V160-V161</f>
        <v/>
      </c>
      <c r="AJ160" s="18">
        <f>X160-X161</f>
        <v/>
      </c>
      <c r="AK160" s="18">
        <f>Z160-Z161</f>
        <v/>
      </c>
      <c r="AL160" s="18">
        <f>AB160-AB161</f>
        <v/>
      </c>
    </row>
    <row r="161">
      <c r="A161" s="16" t="n">
        <v>46073</v>
      </c>
      <c r="B161" s="17" t="n">
        <v>3.48</v>
      </c>
      <c r="C161" s="18">
        <f>(B161-B162)*100</f>
        <v/>
      </c>
      <c r="D161" s="17" t="n">
        <v>3.5</v>
      </c>
      <c r="E161" s="18">
        <f>(D161-D162)*100</f>
        <v/>
      </c>
      <c r="F161" s="17" t="n">
        <v>3.65</v>
      </c>
      <c r="G161" s="18">
        <f>(F161-F162)*100</f>
        <v/>
      </c>
      <c r="H161" s="17" t="n">
        <v>4.08</v>
      </c>
      <c r="I161" s="18">
        <f>(H161-H162)*100</f>
        <v/>
      </c>
      <c r="J161" s="17" t="n">
        <v>4.72</v>
      </c>
      <c r="K161" s="18">
        <f>(J161-J162)*100</f>
        <v/>
      </c>
      <c r="L161" s="18">
        <f>(F161-B161)*100</f>
        <v/>
      </c>
      <c r="M161" s="20">
        <f>(L161-$D$9)/$E$9</f>
        <v/>
      </c>
      <c r="N161" s="18">
        <f>(F161-D161)*100</f>
        <v/>
      </c>
      <c r="O161" s="20">
        <f>(N161-$D$10)/$E$10</f>
        <v/>
      </c>
      <c r="P161" s="18">
        <f>(H161-F161)*100</f>
        <v/>
      </c>
      <c r="Q161" s="20">
        <f>(P161-$D$11)/$E$11</f>
        <v/>
      </c>
      <c r="R161" s="18">
        <f>(J161-F161)*100</f>
        <v/>
      </c>
      <c r="S161" s="20">
        <f>(R161-$D$12)/$E$12</f>
        <v/>
      </c>
      <c r="T161" s="18">
        <f>(H161-B161)*100</f>
        <v/>
      </c>
      <c r="U161" s="20">
        <f>(T161-$D$13)/$E$13</f>
        <v/>
      </c>
      <c r="V161" s="18">
        <f>(H161-D161)*100</f>
        <v/>
      </c>
      <c r="W161" s="20">
        <f>(V161-$D$14)/$E$14</f>
        <v/>
      </c>
      <c r="X161" s="18">
        <f>(J161-H161)*100</f>
        <v/>
      </c>
      <c r="Y161" s="20">
        <f>(X161-$D$15)/$E$15</f>
        <v/>
      </c>
      <c r="Z161" s="18">
        <f>(J161-B161)*100</f>
        <v/>
      </c>
      <c r="AA161" s="20">
        <f>(Z161-$D$16)/$E$16</f>
        <v/>
      </c>
      <c r="AB161" s="18">
        <f>(2*F161-B161-H161)*100</f>
        <v/>
      </c>
      <c r="AC161" s="20">
        <f>(AB161-$D$17)/$E$17</f>
        <v/>
      </c>
      <c r="AD161" s="18">
        <f>L161-L162</f>
        <v/>
      </c>
      <c r="AE161" s="18">
        <f>N161-N162</f>
        <v/>
      </c>
      <c r="AF161" s="18">
        <f>P161-P162</f>
        <v/>
      </c>
      <c r="AG161" s="18">
        <f>R161-R162</f>
        <v/>
      </c>
      <c r="AH161" s="18">
        <f>T161-T162</f>
        <v/>
      </c>
      <c r="AI161" s="18">
        <f>V161-V162</f>
        <v/>
      </c>
      <c r="AJ161" s="18">
        <f>X161-X162</f>
        <v/>
      </c>
      <c r="AK161" s="18">
        <f>Z161-Z162</f>
        <v/>
      </c>
      <c r="AL161" s="18">
        <f>AB161-AB162</f>
        <v/>
      </c>
    </row>
    <row r="162">
      <c r="A162" s="16" t="n">
        <v>46072</v>
      </c>
      <c r="B162" s="17" t="n">
        <v>3.47</v>
      </c>
      <c r="C162" s="18">
        <f>(B162-B163)*100</f>
        <v/>
      </c>
      <c r="D162" s="17" t="n">
        <v>3.5</v>
      </c>
      <c r="E162" s="18">
        <f>(D162-D163)*100</f>
        <v/>
      </c>
      <c r="F162" s="17" t="n">
        <v>3.65</v>
      </c>
      <c r="G162" s="18">
        <f>(F162-F163)*100</f>
        <v/>
      </c>
      <c r="H162" s="17" t="n">
        <v>4.08</v>
      </c>
      <c r="I162" s="18">
        <f>(H162-H163)*100</f>
        <v/>
      </c>
      <c r="J162" s="17" t="n">
        <v>4.7</v>
      </c>
      <c r="K162" s="18">
        <f>(J162-J163)*100</f>
        <v/>
      </c>
      <c r="L162" s="18">
        <f>(F162-B162)*100</f>
        <v/>
      </c>
      <c r="M162" s="20">
        <f>(L162-$D$9)/$E$9</f>
        <v/>
      </c>
      <c r="N162" s="18">
        <f>(F162-D162)*100</f>
        <v/>
      </c>
      <c r="O162" s="20">
        <f>(N162-$D$10)/$E$10</f>
        <v/>
      </c>
      <c r="P162" s="18">
        <f>(H162-F162)*100</f>
        <v/>
      </c>
      <c r="Q162" s="20">
        <f>(P162-$D$11)/$E$11</f>
        <v/>
      </c>
      <c r="R162" s="18">
        <f>(J162-F162)*100</f>
        <v/>
      </c>
      <c r="S162" s="20">
        <f>(R162-$D$12)/$E$12</f>
        <v/>
      </c>
      <c r="T162" s="18">
        <f>(H162-B162)*100</f>
        <v/>
      </c>
      <c r="U162" s="20">
        <f>(T162-$D$13)/$E$13</f>
        <v/>
      </c>
      <c r="V162" s="18">
        <f>(H162-D162)*100</f>
        <v/>
      </c>
      <c r="W162" s="20">
        <f>(V162-$D$14)/$E$14</f>
        <v/>
      </c>
      <c r="X162" s="18">
        <f>(J162-H162)*100</f>
        <v/>
      </c>
      <c r="Y162" s="20">
        <f>(X162-$D$15)/$E$15</f>
        <v/>
      </c>
      <c r="Z162" s="18">
        <f>(J162-B162)*100</f>
        <v/>
      </c>
      <c r="AA162" s="20">
        <f>(Z162-$D$16)/$E$16</f>
        <v/>
      </c>
      <c r="AB162" s="18">
        <f>(2*F162-B162-H162)*100</f>
        <v/>
      </c>
      <c r="AC162" s="20">
        <f>(AB162-$D$17)/$E$17</f>
        <v/>
      </c>
      <c r="AD162" s="18">
        <f>L162-L163</f>
        <v/>
      </c>
      <c r="AE162" s="18">
        <f>N162-N163</f>
        <v/>
      </c>
      <c r="AF162" s="18">
        <f>P162-P163</f>
        <v/>
      </c>
      <c r="AG162" s="18">
        <f>R162-R163</f>
        <v/>
      </c>
      <c r="AH162" s="18">
        <f>T162-T163</f>
        <v/>
      </c>
      <c r="AI162" s="18">
        <f>V162-V163</f>
        <v/>
      </c>
      <c r="AJ162" s="18">
        <f>X162-X163</f>
        <v/>
      </c>
      <c r="AK162" s="18">
        <f>Z162-Z163</f>
        <v/>
      </c>
      <c r="AL162" s="18">
        <f>AB162-AB163</f>
        <v/>
      </c>
    </row>
    <row r="163">
      <c r="A163" s="16" t="n">
        <v>46071</v>
      </c>
      <c r="B163" s="17" t="n">
        <v>3.47</v>
      </c>
      <c r="C163" s="18">
        <f>(B163-B164)*100</f>
        <v/>
      </c>
      <c r="D163" s="17" t="n">
        <v>3.5</v>
      </c>
      <c r="E163" s="18">
        <f>(D163-D164)*100</f>
        <v/>
      </c>
      <c r="F163" s="17" t="n">
        <v>3.66</v>
      </c>
      <c r="G163" s="18">
        <f>(F163-F164)*100</f>
        <v/>
      </c>
      <c r="H163" s="17" t="n">
        <v>4.09</v>
      </c>
      <c r="I163" s="18">
        <f>(H163-H164)*100</f>
        <v/>
      </c>
      <c r="J163" s="17" t="n">
        <v>4.71</v>
      </c>
      <c r="K163" s="18">
        <f>(J163-J164)*100</f>
        <v/>
      </c>
      <c r="L163" s="18">
        <f>(F163-B163)*100</f>
        <v/>
      </c>
      <c r="M163" s="20">
        <f>(L163-$D$9)/$E$9</f>
        <v/>
      </c>
      <c r="N163" s="18">
        <f>(F163-D163)*100</f>
        <v/>
      </c>
      <c r="O163" s="20">
        <f>(N163-$D$10)/$E$10</f>
        <v/>
      </c>
      <c r="P163" s="18">
        <f>(H163-F163)*100</f>
        <v/>
      </c>
      <c r="Q163" s="20">
        <f>(P163-$D$11)/$E$11</f>
        <v/>
      </c>
      <c r="R163" s="18">
        <f>(J163-F163)*100</f>
        <v/>
      </c>
      <c r="S163" s="20">
        <f>(R163-$D$12)/$E$12</f>
        <v/>
      </c>
      <c r="T163" s="18">
        <f>(H163-B163)*100</f>
        <v/>
      </c>
      <c r="U163" s="20">
        <f>(T163-$D$13)/$E$13</f>
        <v/>
      </c>
      <c r="V163" s="18">
        <f>(H163-D163)*100</f>
        <v/>
      </c>
      <c r="W163" s="20">
        <f>(V163-$D$14)/$E$14</f>
        <v/>
      </c>
      <c r="X163" s="18">
        <f>(J163-H163)*100</f>
        <v/>
      </c>
      <c r="Y163" s="20">
        <f>(X163-$D$15)/$E$15</f>
        <v/>
      </c>
      <c r="Z163" s="18">
        <f>(J163-B163)*100</f>
        <v/>
      </c>
      <c r="AA163" s="20">
        <f>(Z163-$D$16)/$E$16</f>
        <v/>
      </c>
      <c r="AB163" s="18">
        <f>(2*F163-B163-H163)*100</f>
        <v/>
      </c>
      <c r="AC163" s="20">
        <f>(AB163-$D$17)/$E$17</f>
        <v/>
      </c>
      <c r="AD163" s="18">
        <f>L163-L164</f>
        <v/>
      </c>
      <c r="AE163" s="18">
        <f>N163-N164</f>
        <v/>
      </c>
      <c r="AF163" s="18">
        <f>P163-P164</f>
        <v/>
      </c>
      <c r="AG163" s="18">
        <f>R163-R164</f>
        <v/>
      </c>
      <c r="AH163" s="18">
        <f>T163-T164</f>
        <v/>
      </c>
      <c r="AI163" s="18">
        <f>V163-V164</f>
        <v/>
      </c>
      <c r="AJ163" s="18">
        <f>X163-X164</f>
        <v/>
      </c>
      <c r="AK163" s="18">
        <f>Z163-Z164</f>
        <v/>
      </c>
      <c r="AL163" s="18">
        <f>AB163-AB164</f>
        <v/>
      </c>
    </row>
    <row r="164">
      <c r="A164" s="16" t="n">
        <v>46070</v>
      </c>
      <c r="B164" s="17" t="n">
        <v>3.43</v>
      </c>
      <c r="C164" s="18">
        <f>(B164-B165)*100</f>
        <v/>
      </c>
      <c r="D164" s="17" t="n">
        <v>3.47</v>
      </c>
      <c r="E164" s="18">
        <f>(D164-D165)*100</f>
        <v/>
      </c>
      <c r="F164" s="17" t="n">
        <v>3.63</v>
      </c>
      <c r="G164" s="18">
        <f>(F164-F165)*100</f>
        <v/>
      </c>
      <c r="H164" s="17" t="n">
        <v>4.05</v>
      </c>
      <c r="I164" s="18">
        <f>(H164-H165)*100</f>
        <v/>
      </c>
      <c r="J164" s="17" t="n">
        <v>4.68</v>
      </c>
      <c r="K164" s="18">
        <f>(J164-J165)*100</f>
        <v/>
      </c>
      <c r="L164" s="18">
        <f>(F164-B164)*100</f>
        <v/>
      </c>
      <c r="M164" s="20">
        <f>(L164-$D$9)/$E$9</f>
        <v/>
      </c>
      <c r="N164" s="18">
        <f>(F164-D164)*100</f>
        <v/>
      </c>
      <c r="O164" s="20">
        <f>(N164-$D$10)/$E$10</f>
        <v/>
      </c>
      <c r="P164" s="18">
        <f>(H164-F164)*100</f>
        <v/>
      </c>
      <c r="Q164" s="20">
        <f>(P164-$D$11)/$E$11</f>
        <v/>
      </c>
      <c r="R164" s="18">
        <f>(J164-F164)*100</f>
        <v/>
      </c>
      <c r="S164" s="20">
        <f>(R164-$D$12)/$E$12</f>
        <v/>
      </c>
      <c r="T164" s="18">
        <f>(H164-B164)*100</f>
        <v/>
      </c>
      <c r="U164" s="20">
        <f>(T164-$D$13)/$E$13</f>
        <v/>
      </c>
      <c r="V164" s="18">
        <f>(H164-D164)*100</f>
        <v/>
      </c>
      <c r="W164" s="20">
        <f>(V164-$D$14)/$E$14</f>
        <v/>
      </c>
      <c r="X164" s="18">
        <f>(J164-H164)*100</f>
        <v/>
      </c>
      <c r="Y164" s="20">
        <f>(X164-$D$15)/$E$15</f>
        <v/>
      </c>
      <c r="Z164" s="18">
        <f>(J164-B164)*100</f>
        <v/>
      </c>
      <c r="AA164" s="20">
        <f>(Z164-$D$16)/$E$16</f>
        <v/>
      </c>
      <c r="AB164" s="18">
        <f>(2*F164-B164-H164)*100</f>
        <v/>
      </c>
      <c r="AC164" s="20">
        <f>(AB164-$D$17)/$E$17</f>
        <v/>
      </c>
      <c r="AD164" s="18">
        <f>L164-L165</f>
        <v/>
      </c>
      <c r="AE164" s="18">
        <f>N164-N165</f>
        <v/>
      </c>
      <c r="AF164" s="18">
        <f>P164-P165</f>
        <v/>
      </c>
      <c r="AG164" s="18">
        <f>R164-R165</f>
        <v/>
      </c>
      <c r="AH164" s="18">
        <f>T164-T165</f>
        <v/>
      </c>
      <c r="AI164" s="18">
        <f>V164-V165</f>
        <v/>
      </c>
      <c r="AJ164" s="18">
        <f>X164-X165</f>
        <v/>
      </c>
      <c r="AK164" s="18">
        <f>Z164-Z165</f>
        <v/>
      </c>
      <c r="AL164" s="18">
        <f>AB164-AB165</f>
        <v/>
      </c>
    </row>
    <row r="165">
      <c r="A165" s="16" t="n">
        <v>46066</v>
      </c>
      <c r="B165" s="17" t="n">
        <v>3.4</v>
      </c>
      <c r="C165" s="18">
        <f>(B165-B166)*100</f>
        <v/>
      </c>
      <c r="D165" s="17" t="n">
        <v>3.43</v>
      </c>
      <c r="E165" s="18">
        <f>(D165-D166)*100</f>
        <v/>
      </c>
      <c r="F165" s="17" t="n">
        <v>3.61</v>
      </c>
      <c r="G165" s="18">
        <f>(F165-F166)*100</f>
        <v/>
      </c>
      <c r="H165" s="17" t="n">
        <v>4.04</v>
      </c>
      <c r="I165" s="18">
        <f>(H165-H166)*100</f>
        <v/>
      </c>
      <c r="J165" s="17" t="n">
        <v>4.69</v>
      </c>
      <c r="K165" s="18">
        <f>(J165-J166)*100</f>
        <v/>
      </c>
      <c r="L165" s="18">
        <f>(F165-B165)*100</f>
        <v/>
      </c>
      <c r="M165" s="20">
        <f>(L165-$D$9)/$E$9</f>
        <v/>
      </c>
      <c r="N165" s="18">
        <f>(F165-D165)*100</f>
        <v/>
      </c>
      <c r="O165" s="20">
        <f>(N165-$D$10)/$E$10</f>
        <v/>
      </c>
      <c r="P165" s="18">
        <f>(H165-F165)*100</f>
        <v/>
      </c>
      <c r="Q165" s="20">
        <f>(P165-$D$11)/$E$11</f>
        <v/>
      </c>
      <c r="R165" s="18">
        <f>(J165-F165)*100</f>
        <v/>
      </c>
      <c r="S165" s="20">
        <f>(R165-$D$12)/$E$12</f>
        <v/>
      </c>
      <c r="T165" s="18">
        <f>(H165-B165)*100</f>
        <v/>
      </c>
      <c r="U165" s="20">
        <f>(T165-$D$13)/$E$13</f>
        <v/>
      </c>
      <c r="V165" s="18">
        <f>(H165-D165)*100</f>
        <v/>
      </c>
      <c r="W165" s="20">
        <f>(V165-$D$14)/$E$14</f>
        <v/>
      </c>
      <c r="X165" s="18">
        <f>(J165-H165)*100</f>
        <v/>
      </c>
      <c r="Y165" s="20">
        <f>(X165-$D$15)/$E$15</f>
        <v/>
      </c>
      <c r="Z165" s="18">
        <f>(J165-B165)*100</f>
        <v/>
      </c>
      <c r="AA165" s="20">
        <f>(Z165-$D$16)/$E$16</f>
        <v/>
      </c>
      <c r="AB165" s="18">
        <f>(2*F165-B165-H165)*100</f>
        <v/>
      </c>
      <c r="AC165" s="20">
        <f>(AB165-$D$17)/$E$17</f>
        <v/>
      </c>
      <c r="AD165" s="18">
        <f>L165-L166</f>
        <v/>
      </c>
      <c r="AE165" s="18">
        <f>N165-N166</f>
        <v/>
      </c>
      <c r="AF165" s="18">
        <f>P165-P166</f>
        <v/>
      </c>
      <c r="AG165" s="18">
        <f>R165-R166</f>
        <v/>
      </c>
      <c r="AH165" s="18">
        <f>T165-T166</f>
        <v/>
      </c>
      <c r="AI165" s="18">
        <f>V165-V166</f>
        <v/>
      </c>
      <c r="AJ165" s="18">
        <f>X165-X166</f>
        <v/>
      </c>
      <c r="AK165" s="18">
        <f>Z165-Z166</f>
        <v/>
      </c>
      <c r="AL165" s="18">
        <f>AB165-AB166</f>
        <v/>
      </c>
    </row>
    <row r="166">
      <c r="A166" s="16" t="n">
        <v>46065</v>
      </c>
      <c r="B166" s="17" t="n">
        <v>3.47</v>
      </c>
      <c r="C166" s="18">
        <f>(B166-B167)*100</f>
        <v/>
      </c>
      <c r="D166" s="17" t="n">
        <v>3.49</v>
      </c>
      <c r="E166" s="18">
        <f>(D166-D167)*100</f>
        <v/>
      </c>
      <c r="F166" s="17" t="n">
        <v>3.67</v>
      </c>
      <c r="G166" s="18">
        <f>(F166-F167)*100</f>
        <v/>
      </c>
      <c r="H166" s="17" t="n">
        <v>4.09</v>
      </c>
      <c r="I166" s="18">
        <f>(H166-H167)*100</f>
        <v/>
      </c>
      <c r="J166" s="17" t="n">
        <v>4.72</v>
      </c>
      <c r="K166" s="18">
        <f>(J166-J167)*100</f>
        <v/>
      </c>
      <c r="L166" s="18">
        <f>(F166-B166)*100</f>
        <v/>
      </c>
      <c r="M166" s="20">
        <f>(L166-$D$9)/$E$9</f>
        <v/>
      </c>
      <c r="N166" s="18">
        <f>(F166-D166)*100</f>
        <v/>
      </c>
      <c r="O166" s="20">
        <f>(N166-$D$10)/$E$10</f>
        <v/>
      </c>
      <c r="P166" s="18">
        <f>(H166-F166)*100</f>
        <v/>
      </c>
      <c r="Q166" s="20">
        <f>(P166-$D$11)/$E$11</f>
        <v/>
      </c>
      <c r="R166" s="18">
        <f>(J166-F166)*100</f>
        <v/>
      </c>
      <c r="S166" s="20">
        <f>(R166-$D$12)/$E$12</f>
        <v/>
      </c>
      <c r="T166" s="18">
        <f>(H166-B166)*100</f>
        <v/>
      </c>
      <c r="U166" s="20">
        <f>(T166-$D$13)/$E$13</f>
        <v/>
      </c>
      <c r="V166" s="18">
        <f>(H166-D166)*100</f>
        <v/>
      </c>
      <c r="W166" s="20">
        <f>(V166-$D$14)/$E$14</f>
        <v/>
      </c>
      <c r="X166" s="18">
        <f>(J166-H166)*100</f>
        <v/>
      </c>
      <c r="Y166" s="20">
        <f>(X166-$D$15)/$E$15</f>
        <v/>
      </c>
      <c r="Z166" s="18">
        <f>(J166-B166)*100</f>
        <v/>
      </c>
      <c r="AA166" s="20">
        <f>(Z166-$D$16)/$E$16</f>
        <v/>
      </c>
      <c r="AB166" s="18">
        <f>(2*F166-B166-H166)*100</f>
        <v/>
      </c>
      <c r="AC166" s="20">
        <f>(AB166-$D$17)/$E$17</f>
        <v/>
      </c>
      <c r="AD166" s="18">
        <f>L166-L167</f>
        <v/>
      </c>
      <c r="AE166" s="18">
        <f>N166-N167</f>
        <v/>
      </c>
      <c r="AF166" s="18">
        <f>P166-P167</f>
        <v/>
      </c>
      <c r="AG166" s="18">
        <f>R166-R167</f>
        <v/>
      </c>
      <c r="AH166" s="18">
        <f>T166-T167</f>
        <v/>
      </c>
      <c r="AI166" s="18">
        <f>V166-V167</f>
        <v/>
      </c>
      <c r="AJ166" s="18">
        <f>X166-X167</f>
        <v/>
      </c>
      <c r="AK166" s="18">
        <f>Z166-Z167</f>
        <v/>
      </c>
      <c r="AL166" s="18">
        <f>AB166-AB167</f>
        <v/>
      </c>
    </row>
    <row r="167">
      <c r="A167" s="16" t="n">
        <v>46064</v>
      </c>
      <c r="B167" s="17" t="n">
        <v>3.52</v>
      </c>
      <c r="C167" s="18">
        <f>(B167-B168)*100</f>
        <v/>
      </c>
      <c r="D167" s="17" t="n">
        <v>3.55</v>
      </c>
      <c r="E167" s="18">
        <f>(D167-D168)*100</f>
        <v/>
      </c>
      <c r="F167" s="17" t="n">
        <v>3.75</v>
      </c>
      <c r="G167" s="18">
        <f>(F167-F168)*100</f>
        <v/>
      </c>
      <c r="H167" s="17" t="n">
        <v>4.18</v>
      </c>
      <c r="I167" s="18">
        <f>(H167-H168)*100</f>
        <v/>
      </c>
      <c r="J167" s="17" t="n">
        <v>4.82</v>
      </c>
      <c r="K167" s="18">
        <f>(J167-J168)*100</f>
        <v/>
      </c>
      <c r="L167" s="18">
        <f>(F167-B167)*100</f>
        <v/>
      </c>
      <c r="M167" s="20">
        <f>(L167-$D$9)/$E$9</f>
        <v/>
      </c>
      <c r="N167" s="18">
        <f>(F167-D167)*100</f>
        <v/>
      </c>
      <c r="O167" s="20">
        <f>(N167-$D$10)/$E$10</f>
        <v/>
      </c>
      <c r="P167" s="18">
        <f>(H167-F167)*100</f>
        <v/>
      </c>
      <c r="Q167" s="20">
        <f>(P167-$D$11)/$E$11</f>
        <v/>
      </c>
      <c r="R167" s="18">
        <f>(J167-F167)*100</f>
        <v/>
      </c>
      <c r="S167" s="20">
        <f>(R167-$D$12)/$E$12</f>
        <v/>
      </c>
      <c r="T167" s="18">
        <f>(H167-B167)*100</f>
        <v/>
      </c>
      <c r="U167" s="20">
        <f>(T167-$D$13)/$E$13</f>
        <v/>
      </c>
      <c r="V167" s="18">
        <f>(H167-D167)*100</f>
        <v/>
      </c>
      <c r="W167" s="20">
        <f>(V167-$D$14)/$E$14</f>
        <v/>
      </c>
      <c r="X167" s="18">
        <f>(J167-H167)*100</f>
        <v/>
      </c>
      <c r="Y167" s="20">
        <f>(X167-$D$15)/$E$15</f>
        <v/>
      </c>
      <c r="Z167" s="18">
        <f>(J167-B167)*100</f>
        <v/>
      </c>
      <c r="AA167" s="20">
        <f>(Z167-$D$16)/$E$16</f>
        <v/>
      </c>
      <c r="AB167" s="18">
        <f>(2*F167-B167-H167)*100</f>
        <v/>
      </c>
      <c r="AC167" s="20">
        <f>(AB167-$D$17)/$E$17</f>
        <v/>
      </c>
      <c r="AD167" s="18">
        <f>L167-L168</f>
        <v/>
      </c>
      <c r="AE167" s="18">
        <f>N167-N168</f>
        <v/>
      </c>
      <c r="AF167" s="18">
        <f>P167-P168</f>
        <v/>
      </c>
      <c r="AG167" s="18">
        <f>R167-R168</f>
        <v/>
      </c>
      <c r="AH167" s="18">
        <f>T167-T168</f>
        <v/>
      </c>
      <c r="AI167" s="18">
        <f>V167-V168</f>
        <v/>
      </c>
      <c r="AJ167" s="18">
        <f>X167-X168</f>
        <v/>
      </c>
      <c r="AK167" s="18">
        <f>Z167-Z168</f>
        <v/>
      </c>
      <c r="AL167" s="18">
        <f>AB167-AB168</f>
        <v/>
      </c>
    </row>
    <row r="168">
      <c r="A168" s="16" t="n">
        <v>46063</v>
      </c>
      <c r="B168" s="17" t="n">
        <v>3.45</v>
      </c>
      <c r="C168" s="18">
        <f>(B168-B169)*100</f>
        <v/>
      </c>
      <c r="D168" s="17" t="n">
        <v>3.5</v>
      </c>
      <c r="E168" s="18">
        <f>(D168-D169)*100</f>
        <v/>
      </c>
      <c r="F168" s="17" t="n">
        <v>3.7</v>
      </c>
      <c r="G168" s="18">
        <f>(F168-F169)*100</f>
        <v/>
      </c>
      <c r="H168" s="17" t="n">
        <v>4.16</v>
      </c>
      <c r="I168" s="18">
        <f>(H168-H169)*100</f>
        <v/>
      </c>
      <c r="J168" s="17" t="n">
        <v>4.78</v>
      </c>
      <c r="K168" s="18">
        <f>(J168-J169)*100</f>
        <v/>
      </c>
      <c r="L168" s="18">
        <f>(F168-B168)*100</f>
        <v/>
      </c>
      <c r="M168" s="20">
        <f>(L168-$D$9)/$E$9</f>
        <v/>
      </c>
      <c r="N168" s="18">
        <f>(F168-D168)*100</f>
        <v/>
      </c>
      <c r="O168" s="20">
        <f>(N168-$D$10)/$E$10</f>
        <v/>
      </c>
      <c r="P168" s="18">
        <f>(H168-F168)*100</f>
        <v/>
      </c>
      <c r="Q168" s="20">
        <f>(P168-$D$11)/$E$11</f>
        <v/>
      </c>
      <c r="R168" s="18">
        <f>(J168-F168)*100</f>
        <v/>
      </c>
      <c r="S168" s="20">
        <f>(R168-$D$12)/$E$12</f>
        <v/>
      </c>
      <c r="T168" s="18">
        <f>(H168-B168)*100</f>
        <v/>
      </c>
      <c r="U168" s="20">
        <f>(T168-$D$13)/$E$13</f>
        <v/>
      </c>
      <c r="V168" s="18">
        <f>(H168-D168)*100</f>
        <v/>
      </c>
      <c r="W168" s="20">
        <f>(V168-$D$14)/$E$14</f>
        <v/>
      </c>
      <c r="X168" s="18">
        <f>(J168-H168)*100</f>
        <v/>
      </c>
      <c r="Y168" s="20">
        <f>(X168-$D$15)/$E$15</f>
        <v/>
      </c>
      <c r="Z168" s="18">
        <f>(J168-B168)*100</f>
        <v/>
      </c>
      <c r="AA168" s="20">
        <f>(Z168-$D$16)/$E$16</f>
        <v/>
      </c>
      <c r="AB168" s="18">
        <f>(2*F168-B168-H168)*100</f>
        <v/>
      </c>
      <c r="AC168" s="20">
        <f>(AB168-$D$17)/$E$17</f>
        <v/>
      </c>
      <c r="AD168" s="18">
        <f>L168-L169</f>
        <v/>
      </c>
      <c r="AE168" s="18">
        <f>N168-N169</f>
        <v/>
      </c>
      <c r="AF168" s="18">
        <f>P168-P169</f>
        <v/>
      </c>
      <c r="AG168" s="18">
        <f>R168-R169</f>
        <v/>
      </c>
      <c r="AH168" s="18">
        <f>T168-T169</f>
        <v/>
      </c>
      <c r="AI168" s="18">
        <f>V168-V169</f>
        <v/>
      </c>
      <c r="AJ168" s="18">
        <f>X168-X169</f>
        <v/>
      </c>
      <c r="AK168" s="18">
        <f>Z168-Z169</f>
        <v/>
      </c>
      <c r="AL168" s="18">
        <f>AB168-AB169</f>
        <v/>
      </c>
    </row>
    <row r="169">
      <c r="A169" s="16" t="n">
        <v>46062</v>
      </c>
      <c r="B169" s="17" t="n">
        <v>3.48</v>
      </c>
      <c r="C169" s="18">
        <f>(B169-B170)*100</f>
        <v/>
      </c>
      <c r="D169" s="17" t="n">
        <v>3.56</v>
      </c>
      <c r="E169" s="18">
        <f>(D169-D170)*100</f>
        <v/>
      </c>
      <c r="F169" s="17" t="n">
        <v>3.75</v>
      </c>
      <c r="G169" s="18">
        <f>(F169-F170)*100</f>
        <v/>
      </c>
      <c r="H169" s="17" t="n">
        <v>4.22</v>
      </c>
      <c r="I169" s="18">
        <f>(H169-H170)*100</f>
        <v/>
      </c>
      <c r="J169" s="17" t="n">
        <v>4.85</v>
      </c>
      <c r="K169" s="18">
        <f>(J169-J170)*100</f>
        <v/>
      </c>
      <c r="L169" s="18">
        <f>(F169-B169)*100</f>
        <v/>
      </c>
      <c r="M169" s="20">
        <f>(L169-$D$9)/$E$9</f>
        <v/>
      </c>
      <c r="N169" s="18">
        <f>(F169-D169)*100</f>
        <v/>
      </c>
      <c r="O169" s="20">
        <f>(N169-$D$10)/$E$10</f>
        <v/>
      </c>
      <c r="P169" s="18">
        <f>(H169-F169)*100</f>
        <v/>
      </c>
      <c r="Q169" s="20">
        <f>(P169-$D$11)/$E$11</f>
        <v/>
      </c>
      <c r="R169" s="18">
        <f>(J169-F169)*100</f>
        <v/>
      </c>
      <c r="S169" s="20">
        <f>(R169-$D$12)/$E$12</f>
        <v/>
      </c>
      <c r="T169" s="18">
        <f>(H169-B169)*100</f>
        <v/>
      </c>
      <c r="U169" s="20">
        <f>(T169-$D$13)/$E$13</f>
        <v/>
      </c>
      <c r="V169" s="18">
        <f>(H169-D169)*100</f>
        <v/>
      </c>
      <c r="W169" s="20">
        <f>(V169-$D$14)/$E$14</f>
        <v/>
      </c>
      <c r="X169" s="18">
        <f>(J169-H169)*100</f>
        <v/>
      </c>
      <c r="Y169" s="20">
        <f>(X169-$D$15)/$E$15</f>
        <v/>
      </c>
      <c r="Z169" s="18">
        <f>(J169-B169)*100</f>
        <v/>
      </c>
      <c r="AA169" s="20">
        <f>(Z169-$D$16)/$E$16</f>
        <v/>
      </c>
      <c r="AB169" s="18">
        <f>(2*F169-B169-H169)*100</f>
        <v/>
      </c>
      <c r="AC169" s="20">
        <f>(AB169-$D$17)/$E$17</f>
        <v/>
      </c>
      <c r="AD169" s="18">
        <f>L169-L170</f>
        <v/>
      </c>
      <c r="AE169" s="18">
        <f>N169-N170</f>
        <v/>
      </c>
      <c r="AF169" s="18">
        <f>P169-P170</f>
        <v/>
      </c>
      <c r="AG169" s="18">
        <f>R169-R170</f>
        <v/>
      </c>
      <c r="AH169" s="18">
        <f>T169-T170</f>
        <v/>
      </c>
      <c r="AI169" s="18">
        <f>V169-V170</f>
        <v/>
      </c>
      <c r="AJ169" s="18">
        <f>X169-X170</f>
        <v/>
      </c>
      <c r="AK169" s="18">
        <f>Z169-Z170</f>
        <v/>
      </c>
      <c r="AL169" s="18">
        <f>AB169-AB170</f>
        <v/>
      </c>
    </row>
    <row r="170">
      <c r="A170" s="16" t="n">
        <v>46059</v>
      </c>
      <c r="B170" s="17" t="n">
        <v>3.5</v>
      </c>
      <c r="C170" s="18">
        <f>(B170-B171)*100</f>
        <v/>
      </c>
      <c r="D170" s="17" t="n">
        <v>3.57</v>
      </c>
      <c r="E170" s="18">
        <f>(D170-D171)*100</f>
        <v/>
      </c>
      <c r="F170" s="17" t="n">
        <v>3.76</v>
      </c>
      <c r="G170" s="18">
        <f>(F170-F171)*100</f>
        <v/>
      </c>
      <c r="H170" s="17" t="n">
        <v>4.22</v>
      </c>
      <c r="I170" s="18">
        <f>(H170-H171)*100</f>
        <v/>
      </c>
      <c r="J170" s="17" t="n">
        <v>4.85</v>
      </c>
      <c r="K170" s="18">
        <f>(J170-J171)*100</f>
        <v/>
      </c>
      <c r="L170" s="18">
        <f>(F170-B170)*100</f>
        <v/>
      </c>
      <c r="M170" s="20">
        <f>(L170-$D$9)/$E$9</f>
        <v/>
      </c>
      <c r="N170" s="18">
        <f>(F170-D170)*100</f>
        <v/>
      </c>
      <c r="O170" s="20">
        <f>(N170-$D$10)/$E$10</f>
        <v/>
      </c>
      <c r="P170" s="18">
        <f>(H170-F170)*100</f>
        <v/>
      </c>
      <c r="Q170" s="20">
        <f>(P170-$D$11)/$E$11</f>
        <v/>
      </c>
      <c r="R170" s="18">
        <f>(J170-F170)*100</f>
        <v/>
      </c>
      <c r="S170" s="20">
        <f>(R170-$D$12)/$E$12</f>
        <v/>
      </c>
      <c r="T170" s="18">
        <f>(H170-B170)*100</f>
        <v/>
      </c>
      <c r="U170" s="20">
        <f>(T170-$D$13)/$E$13</f>
        <v/>
      </c>
      <c r="V170" s="18">
        <f>(H170-D170)*100</f>
        <v/>
      </c>
      <c r="W170" s="20">
        <f>(V170-$D$14)/$E$14</f>
        <v/>
      </c>
      <c r="X170" s="18">
        <f>(J170-H170)*100</f>
        <v/>
      </c>
      <c r="Y170" s="20">
        <f>(X170-$D$15)/$E$15</f>
        <v/>
      </c>
      <c r="Z170" s="18">
        <f>(J170-B170)*100</f>
        <v/>
      </c>
      <c r="AA170" s="20">
        <f>(Z170-$D$16)/$E$16</f>
        <v/>
      </c>
      <c r="AB170" s="18">
        <f>(2*F170-B170-H170)*100</f>
        <v/>
      </c>
      <c r="AC170" s="20">
        <f>(AB170-$D$17)/$E$17</f>
        <v/>
      </c>
      <c r="AD170" s="18">
        <f>L170-L171</f>
        <v/>
      </c>
      <c r="AE170" s="18">
        <f>N170-N171</f>
        <v/>
      </c>
      <c r="AF170" s="18">
        <f>P170-P171</f>
        <v/>
      </c>
      <c r="AG170" s="18">
        <f>R170-R171</f>
        <v/>
      </c>
      <c r="AH170" s="18">
        <f>T170-T171</f>
        <v/>
      </c>
      <c r="AI170" s="18">
        <f>V170-V171</f>
        <v/>
      </c>
      <c r="AJ170" s="18">
        <f>X170-X171</f>
        <v/>
      </c>
      <c r="AK170" s="18">
        <f>Z170-Z171</f>
        <v/>
      </c>
      <c r="AL170" s="18">
        <f>AB170-AB171</f>
        <v/>
      </c>
    </row>
    <row r="171">
      <c r="A171" s="16" t="n">
        <v>46058</v>
      </c>
      <c r="B171" s="17" t="n">
        <v>3.47</v>
      </c>
      <c r="C171" s="18">
        <f>(B171-B172)*100</f>
        <v/>
      </c>
      <c r="D171" s="17" t="n">
        <v>3.55</v>
      </c>
      <c r="E171" s="18">
        <f>(D171-D172)*100</f>
        <v/>
      </c>
      <c r="F171" s="17" t="n">
        <v>3.74</v>
      </c>
      <c r="G171" s="18">
        <f>(F171-F172)*100</f>
        <v/>
      </c>
      <c r="H171" s="17" t="n">
        <v>4.21</v>
      </c>
      <c r="I171" s="18">
        <f>(H171-H172)*100</f>
        <v/>
      </c>
      <c r="J171" s="17" t="n">
        <v>4.85</v>
      </c>
      <c r="K171" s="18">
        <f>(J171-J172)*100</f>
        <v/>
      </c>
      <c r="L171" s="18">
        <f>(F171-B171)*100</f>
        <v/>
      </c>
      <c r="M171" s="20">
        <f>(L171-$D$9)/$E$9</f>
        <v/>
      </c>
      <c r="N171" s="18">
        <f>(F171-D171)*100</f>
        <v/>
      </c>
      <c r="O171" s="20">
        <f>(N171-$D$10)/$E$10</f>
        <v/>
      </c>
      <c r="P171" s="18">
        <f>(H171-F171)*100</f>
        <v/>
      </c>
      <c r="Q171" s="20">
        <f>(P171-$D$11)/$E$11</f>
        <v/>
      </c>
      <c r="R171" s="18">
        <f>(J171-F171)*100</f>
        <v/>
      </c>
      <c r="S171" s="20">
        <f>(R171-$D$12)/$E$12</f>
        <v/>
      </c>
      <c r="T171" s="18">
        <f>(H171-B171)*100</f>
        <v/>
      </c>
      <c r="U171" s="20">
        <f>(T171-$D$13)/$E$13</f>
        <v/>
      </c>
      <c r="V171" s="18">
        <f>(H171-D171)*100</f>
        <v/>
      </c>
      <c r="W171" s="20">
        <f>(V171-$D$14)/$E$14</f>
        <v/>
      </c>
      <c r="X171" s="18">
        <f>(J171-H171)*100</f>
        <v/>
      </c>
      <c r="Y171" s="20">
        <f>(X171-$D$15)/$E$15</f>
        <v/>
      </c>
      <c r="Z171" s="18">
        <f>(J171-B171)*100</f>
        <v/>
      </c>
      <c r="AA171" s="20">
        <f>(Z171-$D$16)/$E$16</f>
        <v/>
      </c>
      <c r="AB171" s="18">
        <f>(2*F171-B171-H171)*100</f>
        <v/>
      </c>
      <c r="AC171" s="20">
        <f>(AB171-$D$17)/$E$17</f>
        <v/>
      </c>
      <c r="AD171" s="18">
        <f>L171-L172</f>
        <v/>
      </c>
      <c r="AE171" s="18">
        <f>N171-N172</f>
        <v/>
      </c>
      <c r="AF171" s="18">
        <f>P171-P172</f>
        <v/>
      </c>
      <c r="AG171" s="18">
        <f>R171-R172</f>
        <v/>
      </c>
      <c r="AH171" s="18">
        <f>T171-T172</f>
        <v/>
      </c>
      <c r="AI171" s="18">
        <f>V171-V172</f>
        <v/>
      </c>
      <c r="AJ171" s="18">
        <f>X171-X172</f>
        <v/>
      </c>
      <c r="AK171" s="18">
        <f>Z171-Z172</f>
        <v/>
      </c>
      <c r="AL171" s="18">
        <f>AB171-AB172</f>
        <v/>
      </c>
    </row>
    <row r="172">
      <c r="A172" s="16" t="n">
        <v>46057</v>
      </c>
      <c r="B172" s="17" t="n">
        <v>3.57</v>
      </c>
      <c r="C172" s="18">
        <f>(B172-B173)*100</f>
        <v/>
      </c>
      <c r="D172" s="17" t="n">
        <v>3.64</v>
      </c>
      <c r="E172" s="18">
        <f>(D172-D173)*100</f>
        <v/>
      </c>
      <c r="F172" s="17" t="n">
        <v>3.83</v>
      </c>
      <c r="G172" s="18">
        <f>(F172-F173)*100</f>
        <v/>
      </c>
      <c r="H172" s="17" t="n">
        <v>4.29</v>
      </c>
      <c r="I172" s="18">
        <f>(H172-H173)*100</f>
        <v/>
      </c>
      <c r="J172" s="17" t="n">
        <v>4.91</v>
      </c>
      <c r="K172" s="18">
        <f>(J172-J173)*100</f>
        <v/>
      </c>
      <c r="L172" s="18">
        <f>(F172-B172)*100</f>
        <v/>
      </c>
      <c r="M172" s="20">
        <f>(L172-$D$9)/$E$9</f>
        <v/>
      </c>
      <c r="N172" s="18">
        <f>(F172-D172)*100</f>
        <v/>
      </c>
      <c r="O172" s="20">
        <f>(N172-$D$10)/$E$10</f>
        <v/>
      </c>
      <c r="P172" s="18">
        <f>(H172-F172)*100</f>
        <v/>
      </c>
      <c r="Q172" s="20">
        <f>(P172-$D$11)/$E$11</f>
        <v/>
      </c>
      <c r="R172" s="18">
        <f>(J172-F172)*100</f>
        <v/>
      </c>
      <c r="S172" s="20">
        <f>(R172-$D$12)/$E$12</f>
        <v/>
      </c>
      <c r="T172" s="18">
        <f>(H172-B172)*100</f>
        <v/>
      </c>
      <c r="U172" s="20">
        <f>(T172-$D$13)/$E$13</f>
        <v/>
      </c>
      <c r="V172" s="18">
        <f>(H172-D172)*100</f>
        <v/>
      </c>
      <c r="W172" s="20">
        <f>(V172-$D$14)/$E$14</f>
        <v/>
      </c>
      <c r="X172" s="18">
        <f>(J172-H172)*100</f>
        <v/>
      </c>
      <c r="Y172" s="20">
        <f>(X172-$D$15)/$E$15</f>
        <v/>
      </c>
      <c r="Z172" s="18">
        <f>(J172-B172)*100</f>
        <v/>
      </c>
      <c r="AA172" s="20">
        <f>(Z172-$D$16)/$E$16</f>
        <v/>
      </c>
      <c r="AB172" s="18">
        <f>(2*F172-B172-H172)*100</f>
        <v/>
      </c>
      <c r="AC172" s="20">
        <f>(AB172-$D$17)/$E$17</f>
        <v/>
      </c>
      <c r="AD172" s="18">
        <f>L172-L173</f>
        <v/>
      </c>
      <c r="AE172" s="18">
        <f>N172-N173</f>
        <v/>
      </c>
      <c r="AF172" s="18">
        <f>P172-P173</f>
        <v/>
      </c>
      <c r="AG172" s="18">
        <f>R172-R173</f>
        <v/>
      </c>
      <c r="AH172" s="18">
        <f>T172-T173</f>
        <v/>
      </c>
      <c r="AI172" s="18">
        <f>V172-V173</f>
        <v/>
      </c>
      <c r="AJ172" s="18">
        <f>X172-X173</f>
        <v/>
      </c>
      <c r="AK172" s="18">
        <f>Z172-Z173</f>
        <v/>
      </c>
      <c r="AL172" s="18">
        <f>AB172-AB173</f>
        <v/>
      </c>
    </row>
    <row r="173">
      <c r="A173" s="16" t="n">
        <v>46056</v>
      </c>
      <c r="B173" s="17" t="n">
        <v>3.57</v>
      </c>
      <c r="C173" s="18">
        <f>(B173-B174)*100</f>
        <v/>
      </c>
      <c r="D173" s="17" t="n">
        <v>3.64</v>
      </c>
      <c r="E173" s="18">
        <f>(D173-D174)*100</f>
        <v/>
      </c>
      <c r="F173" s="17" t="n">
        <v>3.83</v>
      </c>
      <c r="G173" s="18">
        <f>(F173-F174)*100</f>
        <v/>
      </c>
      <c r="H173" s="17" t="n">
        <v>4.28</v>
      </c>
      <c r="I173" s="18">
        <f>(H173-H174)*100</f>
        <v/>
      </c>
      <c r="J173" s="17" t="n">
        <v>4.9</v>
      </c>
      <c r="K173" s="18">
        <f>(J173-J174)*100</f>
        <v/>
      </c>
      <c r="L173" s="18">
        <f>(F173-B173)*100</f>
        <v/>
      </c>
      <c r="M173" s="20">
        <f>(L173-$D$9)/$E$9</f>
        <v/>
      </c>
      <c r="N173" s="18">
        <f>(F173-D173)*100</f>
        <v/>
      </c>
      <c r="O173" s="20">
        <f>(N173-$D$10)/$E$10</f>
        <v/>
      </c>
      <c r="P173" s="18">
        <f>(H173-F173)*100</f>
        <v/>
      </c>
      <c r="Q173" s="20">
        <f>(P173-$D$11)/$E$11</f>
        <v/>
      </c>
      <c r="R173" s="18">
        <f>(J173-F173)*100</f>
        <v/>
      </c>
      <c r="S173" s="20">
        <f>(R173-$D$12)/$E$12</f>
        <v/>
      </c>
      <c r="T173" s="18">
        <f>(H173-B173)*100</f>
        <v/>
      </c>
      <c r="U173" s="20">
        <f>(T173-$D$13)/$E$13</f>
        <v/>
      </c>
      <c r="V173" s="18">
        <f>(H173-D173)*100</f>
        <v/>
      </c>
      <c r="W173" s="20">
        <f>(V173-$D$14)/$E$14</f>
        <v/>
      </c>
      <c r="X173" s="18">
        <f>(J173-H173)*100</f>
        <v/>
      </c>
      <c r="Y173" s="20">
        <f>(X173-$D$15)/$E$15</f>
        <v/>
      </c>
      <c r="Z173" s="18">
        <f>(J173-B173)*100</f>
        <v/>
      </c>
      <c r="AA173" s="20">
        <f>(Z173-$D$16)/$E$16</f>
        <v/>
      </c>
      <c r="AB173" s="18">
        <f>(2*F173-B173-H173)*100</f>
        <v/>
      </c>
      <c r="AC173" s="20">
        <f>(AB173-$D$17)/$E$17</f>
        <v/>
      </c>
      <c r="AD173" s="18">
        <f>L173-L174</f>
        <v/>
      </c>
      <c r="AE173" s="18">
        <f>N173-N174</f>
        <v/>
      </c>
      <c r="AF173" s="18">
        <f>P173-P174</f>
        <v/>
      </c>
      <c r="AG173" s="18">
        <f>R173-R174</f>
        <v/>
      </c>
      <c r="AH173" s="18">
        <f>T173-T174</f>
        <v/>
      </c>
      <c r="AI173" s="18">
        <f>V173-V174</f>
        <v/>
      </c>
      <c r="AJ173" s="18">
        <f>X173-X174</f>
        <v/>
      </c>
      <c r="AK173" s="18">
        <f>Z173-Z174</f>
        <v/>
      </c>
      <c r="AL173" s="18">
        <f>AB173-AB174</f>
        <v/>
      </c>
    </row>
    <row r="174">
      <c r="A174" s="16" t="n">
        <v>46055</v>
      </c>
      <c r="B174" s="17" t="n">
        <v>3.57</v>
      </c>
      <c r="C174" s="18">
        <f>(B174-B175)*100</f>
        <v/>
      </c>
      <c r="D174" s="17" t="n">
        <v>3.64</v>
      </c>
      <c r="E174" s="18">
        <f>(D174-D175)*100</f>
        <v/>
      </c>
      <c r="F174" s="17" t="n">
        <v>3.83</v>
      </c>
      <c r="G174" s="18">
        <f>(F174-F175)*100</f>
        <v/>
      </c>
      <c r="H174" s="17" t="n">
        <v>4.29</v>
      </c>
      <c r="I174" s="18">
        <f>(H174-H175)*100</f>
        <v/>
      </c>
      <c r="J174" s="17" t="n">
        <v>4.9</v>
      </c>
      <c r="K174" s="18">
        <f>(J174-J175)*100</f>
        <v/>
      </c>
      <c r="L174" s="18">
        <f>(F174-B174)*100</f>
        <v/>
      </c>
      <c r="M174" s="20">
        <f>(L174-$D$9)/$E$9</f>
        <v/>
      </c>
      <c r="N174" s="18">
        <f>(F174-D174)*100</f>
        <v/>
      </c>
      <c r="O174" s="20">
        <f>(N174-$D$10)/$E$10</f>
        <v/>
      </c>
      <c r="P174" s="18">
        <f>(H174-F174)*100</f>
        <v/>
      </c>
      <c r="Q174" s="20">
        <f>(P174-$D$11)/$E$11</f>
        <v/>
      </c>
      <c r="R174" s="18">
        <f>(J174-F174)*100</f>
        <v/>
      </c>
      <c r="S174" s="20">
        <f>(R174-$D$12)/$E$12</f>
        <v/>
      </c>
      <c r="T174" s="18">
        <f>(H174-B174)*100</f>
        <v/>
      </c>
      <c r="U174" s="20">
        <f>(T174-$D$13)/$E$13</f>
        <v/>
      </c>
      <c r="V174" s="18">
        <f>(H174-D174)*100</f>
        <v/>
      </c>
      <c r="W174" s="20">
        <f>(V174-$D$14)/$E$14</f>
        <v/>
      </c>
      <c r="X174" s="18">
        <f>(J174-H174)*100</f>
        <v/>
      </c>
      <c r="Y174" s="20">
        <f>(X174-$D$15)/$E$15</f>
        <v/>
      </c>
      <c r="Z174" s="18">
        <f>(J174-B174)*100</f>
        <v/>
      </c>
      <c r="AA174" s="20">
        <f>(Z174-$D$16)/$E$16</f>
        <v/>
      </c>
      <c r="AB174" s="18">
        <f>(2*F174-B174-H174)*100</f>
        <v/>
      </c>
      <c r="AC174" s="20">
        <f>(AB174-$D$17)/$E$17</f>
        <v/>
      </c>
      <c r="AD174" s="18">
        <f>L174-L175</f>
        <v/>
      </c>
      <c r="AE174" s="18">
        <f>N174-N175</f>
        <v/>
      </c>
      <c r="AF174" s="18">
        <f>P174-P175</f>
        <v/>
      </c>
      <c r="AG174" s="18">
        <f>R174-R175</f>
        <v/>
      </c>
      <c r="AH174" s="18">
        <f>T174-T175</f>
        <v/>
      </c>
      <c r="AI174" s="18">
        <f>V174-V175</f>
        <v/>
      </c>
      <c r="AJ174" s="18">
        <f>X174-X175</f>
        <v/>
      </c>
      <c r="AK174" s="18">
        <f>Z174-Z175</f>
        <v/>
      </c>
      <c r="AL174" s="18">
        <f>AB174-AB175</f>
        <v/>
      </c>
    </row>
    <row r="175">
      <c r="A175" s="16" t="n">
        <v>46052</v>
      </c>
      <c r="B175" s="17" t="n">
        <v>3.52</v>
      </c>
      <c r="C175" s="18">
        <f>(B175-B176)*100</f>
        <v/>
      </c>
      <c r="D175" s="17" t="n">
        <v>3.6</v>
      </c>
      <c r="E175" s="18">
        <f>(D175-D176)*100</f>
        <v/>
      </c>
      <c r="F175" s="17" t="n">
        <v>3.79</v>
      </c>
      <c r="G175" s="18">
        <f>(F175-F176)*100</f>
        <v/>
      </c>
      <c r="H175" s="17" t="n">
        <v>4.26</v>
      </c>
      <c r="I175" s="18">
        <f>(H175-H176)*100</f>
        <v/>
      </c>
      <c r="J175" s="17" t="n">
        <v>4.87</v>
      </c>
      <c r="K175" s="18">
        <f>(J175-J176)*100</f>
        <v/>
      </c>
      <c r="L175" s="18">
        <f>(F175-B175)*100</f>
        <v/>
      </c>
      <c r="M175" s="20">
        <f>(L175-$D$9)/$E$9</f>
        <v/>
      </c>
      <c r="N175" s="18">
        <f>(F175-D175)*100</f>
        <v/>
      </c>
      <c r="O175" s="20">
        <f>(N175-$D$10)/$E$10</f>
        <v/>
      </c>
      <c r="P175" s="18">
        <f>(H175-F175)*100</f>
        <v/>
      </c>
      <c r="Q175" s="20">
        <f>(P175-$D$11)/$E$11</f>
        <v/>
      </c>
      <c r="R175" s="18">
        <f>(J175-F175)*100</f>
        <v/>
      </c>
      <c r="S175" s="20">
        <f>(R175-$D$12)/$E$12</f>
        <v/>
      </c>
      <c r="T175" s="18">
        <f>(H175-B175)*100</f>
        <v/>
      </c>
      <c r="U175" s="20">
        <f>(T175-$D$13)/$E$13</f>
        <v/>
      </c>
      <c r="V175" s="18">
        <f>(H175-D175)*100</f>
        <v/>
      </c>
      <c r="W175" s="20">
        <f>(V175-$D$14)/$E$14</f>
        <v/>
      </c>
      <c r="X175" s="18">
        <f>(J175-H175)*100</f>
        <v/>
      </c>
      <c r="Y175" s="20">
        <f>(X175-$D$15)/$E$15</f>
        <v/>
      </c>
      <c r="Z175" s="18">
        <f>(J175-B175)*100</f>
        <v/>
      </c>
      <c r="AA175" s="20">
        <f>(Z175-$D$16)/$E$16</f>
        <v/>
      </c>
      <c r="AB175" s="18">
        <f>(2*F175-B175-H175)*100</f>
        <v/>
      </c>
      <c r="AC175" s="20">
        <f>(AB175-$D$17)/$E$17</f>
        <v/>
      </c>
      <c r="AD175" s="18">
        <f>L175-L176</f>
        <v/>
      </c>
      <c r="AE175" s="18">
        <f>N175-N176</f>
        <v/>
      </c>
      <c r="AF175" s="18">
        <f>P175-P176</f>
        <v/>
      </c>
      <c r="AG175" s="18">
        <f>R175-R176</f>
        <v/>
      </c>
      <c r="AH175" s="18">
        <f>T175-T176</f>
        <v/>
      </c>
      <c r="AI175" s="18">
        <f>V175-V176</f>
        <v/>
      </c>
      <c r="AJ175" s="18">
        <f>X175-X176</f>
        <v/>
      </c>
      <c r="AK175" s="18">
        <f>Z175-Z176</f>
        <v/>
      </c>
      <c r="AL175" s="18">
        <f>AB175-AB176</f>
        <v/>
      </c>
    </row>
    <row r="176">
      <c r="A176" s="16" t="n">
        <v>46051</v>
      </c>
      <c r="B176" s="17" t="n">
        <v>3.53</v>
      </c>
      <c r="C176" s="18">
        <f>(B176-B177)*100</f>
        <v/>
      </c>
      <c r="D176" s="17" t="n">
        <v>3.63</v>
      </c>
      <c r="E176" s="18">
        <f>(D176-D177)*100</f>
        <v/>
      </c>
      <c r="F176" s="17" t="n">
        <v>3.8</v>
      </c>
      <c r="G176" s="18">
        <f>(F176-F177)*100</f>
        <v/>
      </c>
      <c r="H176" s="17" t="n">
        <v>4.24</v>
      </c>
      <c r="I176" s="18">
        <f>(H176-H177)*100</f>
        <v/>
      </c>
      <c r="J176" s="17" t="n">
        <v>4.85</v>
      </c>
      <c r="K176" s="18">
        <f>(J176-J177)*100</f>
        <v/>
      </c>
      <c r="L176" s="18">
        <f>(F176-B176)*100</f>
        <v/>
      </c>
      <c r="M176" s="20">
        <f>(L176-$D$9)/$E$9</f>
        <v/>
      </c>
      <c r="N176" s="18">
        <f>(F176-D176)*100</f>
        <v/>
      </c>
      <c r="O176" s="20">
        <f>(N176-$D$10)/$E$10</f>
        <v/>
      </c>
      <c r="P176" s="18">
        <f>(H176-F176)*100</f>
        <v/>
      </c>
      <c r="Q176" s="20">
        <f>(P176-$D$11)/$E$11</f>
        <v/>
      </c>
      <c r="R176" s="18">
        <f>(J176-F176)*100</f>
        <v/>
      </c>
      <c r="S176" s="20">
        <f>(R176-$D$12)/$E$12</f>
        <v/>
      </c>
      <c r="T176" s="18">
        <f>(H176-B176)*100</f>
        <v/>
      </c>
      <c r="U176" s="20">
        <f>(T176-$D$13)/$E$13</f>
        <v/>
      </c>
      <c r="V176" s="18">
        <f>(H176-D176)*100</f>
        <v/>
      </c>
      <c r="W176" s="20">
        <f>(V176-$D$14)/$E$14</f>
        <v/>
      </c>
      <c r="X176" s="18">
        <f>(J176-H176)*100</f>
        <v/>
      </c>
      <c r="Y176" s="20">
        <f>(X176-$D$15)/$E$15</f>
        <v/>
      </c>
      <c r="Z176" s="18">
        <f>(J176-B176)*100</f>
        <v/>
      </c>
      <c r="AA176" s="20">
        <f>(Z176-$D$16)/$E$16</f>
        <v/>
      </c>
      <c r="AB176" s="18">
        <f>(2*F176-B176-H176)*100</f>
        <v/>
      </c>
      <c r="AC176" s="20">
        <f>(AB176-$D$17)/$E$17</f>
        <v/>
      </c>
      <c r="AD176" s="18">
        <f>L176-L177</f>
        <v/>
      </c>
      <c r="AE176" s="18">
        <f>N176-N177</f>
        <v/>
      </c>
      <c r="AF176" s="18">
        <f>P176-P177</f>
        <v/>
      </c>
      <c r="AG176" s="18">
        <f>R176-R177</f>
        <v/>
      </c>
      <c r="AH176" s="18">
        <f>T176-T177</f>
        <v/>
      </c>
      <c r="AI176" s="18">
        <f>V176-V177</f>
        <v/>
      </c>
      <c r="AJ176" s="18">
        <f>X176-X177</f>
        <v/>
      </c>
      <c r="AK176" s="18">
        <f>Z176-Z177</f>
        <v/>
      </c>
      <c r="AL176" s="18">
        <f>AB176-AB177</f>
        <v/>
      </c>
    </row>
    <row r="177">
      <c r="A177" s="16" t="n">
        <v>46050</v>
      </c>
      <c r="B177" s="17" t="n">
        <v>3.56</v>
      </c>
      <c r="C177" s="18">
        <f>(B177-B178)*100</f>
        <v/>
      </c>
      <c r="D177" s="17" t="n">
        <v>3.66</v>
      </c>
      <c r="E177" s="18">
        <f>(D177-D178)*100</f>
        <v/>
      </c>
      <c r="F177" s="17" t="n">
        <v>3.83</v>
      </c>
      <c r="G177" s="18">
        <f>(F177-F178)*100</f>
        <v/>
      </c>
      <c r="H177" s="17" t="n">
        <v>4.26</v>
      </c>
      <c r="I177" s="18">
        <f>(H177-H178)*100</f>
        <v/>
      </c>
      <c r="J177" s="17" t="n">
        <v>4.85</v>
      </c>
      <c r="K177" s="18">
        <f>(J177-J178)*100</f>
        <v/>
      </c>
      <c r="L177" s="18">
        <f>(F177-B177)*100</f>
        <v/>
      </c>
      <c r="M177" s="20">
        <f>(L177-$D$9)/$E$9</f>
        <v/>
      </c>
      <c r="N177" s="18">
        <f>(F177-D177)*100</f>
        <v/>
      </c>
      <c r="O177" s="20">
        <f>(N177-$D$10)/$E$10</f>
        <v/>
      </c>
      <c r="P177" s="18">
        <f>(H177-F177)*100</f>
        <v/>
      </c>
      <c r="Q177" s="20">
        <f>(P177-$D$11)/$E$11</f>
        <v/>
      </c>
      <c r="R177" s="18">
        <f>(J177-F177)*100</f>
        <v/>
      </c>
      <c r="S177" s="20">
        <f>(R177-$D$12)/$E$12</f>
        <v/>
      </c>
      <c r="T177" s="18">
        <f>(H177-B177)*100</f>
        <v/>
      </c>
      <c r="U177" s="20">
        <f>(T177-$D$13)/$E$13</f>
        <v/>
      </c>
      <c r="V177" s="18">
        <f>(H177-D177)*100</f>
        <v/>
      </c>
      <c r="W177" s="20">
        <f>(V177-$D$14)/$E$14</f>
        <v/>
      </c>
      <c r="X177" s="18">
        <f>(J177-H177)*100</f>
        <v/>
      </c>
      <c r="Y177" s="20">
        <f>(X177-$D$15)/$E$15</f>
        <v/>
      </c>
      <c r="Z177" s="18">
        <f>(J177-B177)*100</f>
        <v/>
      </c>
      <c r="AA177" s="20">
        <f>(Z177-$D$16)/$E$16</f>
        <v/>
      </c>
      <c r="AB177" s="18">
        <f>(2*F177-B177-H177)*100</f>
        <v/>
      </c>
      <c r="AC177" s="20">
        <f>(AB177-$D$17)/$E$17</f>
        <v/>
      </c>
      <c r="AD177" s="18">
        <f>L177-L178</f>
        <v/>
      </c>
      <c r="AE177" s="18">
        <f>N177-N178</f>
        <v/>
      </c>
      <c r="AF177" s="18">
        <f>P177-P178</f>
        <v/>
      </c>
      <c r="AG177" s="18">
        <f>R177-R178</f>
        <v/>
      </c>
      <c r="AH177" s="18">
        <f>T177-T178</f>
        <v/>
      </c>
      <c r="AI177" s="18">
        <f>V177-V178</f>
        <v/>
      </c>
      <c r="AJ177" s="18">
        <f>X177-X178</f>
        <v/>
      </c>
      <c r="AK177" s="18">
        <f>Z177-Z178</f>
        <v/>
      </c>
      <c r="AL177" s="18">
        <f>AB177-AB178</f>
        <v/>
      </c>
    </row>
    <row r="178">
      <c r="A178" s="16" t="n">
        <v>46049</v>
      </c>
      <c r="B178" s="17" t="n">
        <v>3.53</v>
      </c>
      <c r="C178" s="18">
        <f>(B178-B179)*100</f>
        <v/>
      </c>
      <c r="D178" s="17" t="n">
        <v>3.65</v>
      </c>
      <c r="E178" s="18">
        <f>(D178-D179)*100</f>
        <v/>
      </c>
      <c r="F178" s="17" t="n">
        <v>3.81</v>
      </c>
      <c r="G178" s="18">
        <f>(F178-F179)*100</f>
        <v/>
      </c>
      <c r="H178" s="17" t="n">
        <v>4.24</v>
      </c>
      <c r="I178" s="18">
        <f>(H178-H179)*100</f>
        <v/>
      </c>
      <c r="J178" s="17" t="n">
        <v>4.83</v>
      </c>
      <c r="K178" s="18">
        <f>(J178-J179)*100</f>
        <v/>
      </c>
      <c r="L178" s="18">
        <f>(F178-B178)*100</f>
        <v/>
      </c>
      <c r="M178" s="20">
        <f>(L178-$D$9)/$E$9</f>
        <v/>
      </c>
      <c r="N178" s="18">
        <f>(F178-D178)*100</f>
        <v/>
      </c>
      <c r="O178" s="20">
        <f>(N178-$D$10)/$E$10</f>
        <v/>
      </c>
      <c r="P178" s="18">
        <f>(H178-F178)*100</f>
        <v/>
      </c>
      <c r="Q178" s="20">
        <f>(P178-$D$11)/$E$11</f>
        <v/>
      </c>
      <c r="R178" s="18">
        <f>(J178-F178)*100</f>
        <v/>
      </c>
      <c r="S178" s="20">
        <f>(R178-$D$12)/$E$12</f>
        <v/>
      </c>
      <c r="T178" s="18">
        <f>(H178-B178)*100</f>
        <v/>
      </c>
      <c r="U178" s="20">
        <f>(T178-$D$13)/$E$13</f>
        <v/>
      </c>
      <c r="V178" s="18">
        <f>(H178-D178)*100</f>
        <v/>
      </c>
      <c r="W178" s="20">
        <f>(V178-$D$14)/$E$14</f>
        <v/>
      </c>
      <c r="X178" s="18">
        <f>(J178-H178)*100</f>
        <v/>
      </c>
      <c r="Y178" s="20">
        <f>(X178-$D$15)/$E$15</f>
        <v/>
      </c>
      <c r="Z178" s="18">
        <f>(J178-B178)*100</f>
        <v/>
      </c>
      <c r="AA178" s="20">
        <f>(Z178-$D$16)/$E$16</f>
        <v/>
      </c>
      <c r="AB178" s="18">
        <f>(2*F178-B178-H178)*100</f>
        <v/>
      </c>
      <c r="AC178" s="20">
        <f>(AB178-$D$17)/$E$17</f>
        <v/>
      </c>
      <c r="AD178" s="18">
        <f>L178-L179</f>
        <v/>
      </c>
      <c r="AE178" s="18">
        <f>N178-N179</f>
        <v/>
      </c>
      <c r="AF178" s="18">
        <f>P178-P179</f>
        <v/>
      </c>
      <c r="AG178" s="18">
        <f>R178-R179</f>
        <v/>
      </c>
      <c r="AH178" s="18">
        <f>T178-T179</f>
        <v/>
      </c>
      <c r="AI178" s="18">
        <f>V178-V179</f>
        <v/>
      </c>
      <c r="AJ178" s="18">
        <f>X178-X179</f>
        <v/>
      </c>
      <c r="AK178" s="18">
        <f>Z178-Z179</f>
        <v/>
      </c>
      <c r="AL178" s="18">
        <f>AB178-AB179</f>
        <v/>
      </c>
    </row>
    <row r="179">
      <c r="A179" s="16" t="n">
        <v>46048</v>
      </c>
      <c r="B179" s="17" t="n">
        <v>3.56</v>
      </c>
      <c r="C179" s="18">
        <f>(B179-B180)*100</f>
        <v/>
      </c>
      <c r="D179" s="17" t="n">
        <v>3.66</v>
      </c>
      <c r="E179" s="18">
        <f>(D179-D180)*100</f>
        <v/>
      </c>
      <c r="F179" s="17" t="n">
        <v>3.82</v>
      </c>
      <c r="G179" s="18">
        <f>(F179-F180)*100</f>
        <v/>
      </c>
      <c r="H179" s="17" t="n">
        <v>4.22</v>
      </c>
      <c r="I179" s="18">
        <f>(H179-H180)*100</f>
        <v/>
      </c>
      <c r="J179" s="17" t="n">
        <v>4.8</v>
      </c>
      <c r="K179" s="18">
        <f>(J179-J180)*100</f>
        <v/>
      </c>
      <c r="L179" s="18">
        <f>(F179-B179)*100</f>
        <v/>
      </c>
      <c r="M179" s="20">
        <f>(L179-$D$9)/$E$9</f>
        <v/>
      </c>
      <c r="N179" s="18">
        <f>(F179-D179)*100</f>
        <v/>
      </c>
      <c r="O179" s="20">
        <f>(N179-$D$10)/$E$10</f>
        <v/>
      </c>
      <c r="P179" s="18">
        <f>(H179-F179)*100</f>
        <v/>
      </c>
      <c r="Q179" s="20">
        <f>(P179-$D$11)/$E$11</f>
        <v/>
      </c>
      <c r="R179" s="18">
        <f>(J179-F179)*100</f>
        <v/>
      </c>
      <c r="S179" s="20">
        <f>(R179-$D$12)/$E$12</f>
        <v/>
      </c>
      <c r="T179" s="18">
        <f>(H179-B179)*100</f>
        <v/>
      </c>
      <c r="U179" s="20">
        <f>(T179-$D$13)/$E$13</f>
        <v/>
      </c>
      <c r="V179" s="18">
        <f>(H179-D179)*100</f>
        <v/>
      </c>
      <c r="W179" s="20">
        <f>(V179-$D$14)/$E$14</f>
        <v/>
      </c>
      <c r="X179" s="18">
        <f>(J179-H179)*100</f>
        <v/>
      </c>
      <c r="Y179" s="20">
        <f>(X179-$D$15)/$E$15</f>
        <v/>
      </c>
      <c r="Z179" s="18">
        <f>(J179-B179)*100</f>
        <v/>
      </c>
      <c r="AA179" s="20">
        <f>(Z179-$D$16)/$E$16</f>
        <v/>
      </c>
      <c r="AB179" s="18">
        <f>(2*F179-B179-H179)*100</f>
        <v/>
      </c>
      <c r="AC179" s="20">
        <f>(AB179-$D$17)/$E$17</f>
        <v/>
      </c>
      <c r="AD179" s="18">
        <f>L179-L180</f>
        <v/>
      </c>
      <c r="AE179" s="18">
        <f>N179-N180</f>
        <v/>
      </c>
      <c r="AF179" s="18">
        <f>P179-P180</f>
        <v/>
      </c>
      <c r="AG179" s="18">
        <f>R179-R180</f>
        <v/>
      </c>
      <c r="AH179" s="18">
        <f>T179-T180</f>
        <v/>
      </c>
      <c r="AI179" s="18">
        <f>V179-V180</f>
        <v/>
      </c>
      <c r="AJ179" s="18">
        <f>X179-X180</f>
        <v/>
      </c>
      <c r="AK179" s="18">
        <f>Z179-Z180</f>
        <v/>
      </c>
      <c r="AL179" s="18">
        <f>AB179-AB180</f>
        <v/>
      </c>
    </row>
    <row r="180">
      <c r="A180" s="16" t="n">
        <v>46045</v>
      </c>
      <c r="B180" s="17" t="n">
        <v>3.6</v>
      </c>
      <c r="C180" s="18">
        <f>(B180-B181)*100</f>
        <v/>
      </c>
      <c r="D180" s="17" t="n">
        <v>3.67</v>
      </c>
      <c r="E180" s="18">
        <f>(D180-D181)*100</f>
        <v/>
      </c>
      <c r="F180" s="17" t="n">
        <v>3.84</v>
      </c>
      <c r="G180" s="18">
        <f>(F180-F181)*100</f>
        <v/>
      </c>
      <c r="H180" s="17" t="n">
        <v>4.24</v>
      </c>
      <c r="I180" s="18">
        <f>(H180-H181)*100</f>
        <v/>
      </c>
      <c r="J180" s="17" t="n">
        <v>4.82</v>
      </c>
      <c r="K180" s="18">
        <f>(J180-J181)*100</f>
        <v/>
      </c>
      <c r="L180" s="18">
        <f>(F180-B180)*100</f>
        <v/>
      </c>
      <c r="M180" s="20">
        <f>(L180-$D$9)/$E$9</f>
        <v/>
      </c>
      <c r="N180" s="18">
        <f>(F180-D180)*100</f>
        <v/>
      </c>
      <c r="O180" s="20">
        <f>(N180-$D$10)/$E$10</f>
        <v/>
      </c>
      <c r="P180" s="18">
        <f>(H180-F180)*100</f>
        <v/>
      </c>
      <c r="Q180" s="20">
        <f>(P180-$D$11)/$E$11</f>
        <v/>
      </c>
      <c r="R180" s="18">
        <f>(J180-F180)*100</f>
        <v/>
      </c>
      <c r="S180" s="20">
        <f>(R180-$D$12)/$E$12</f>
        <v/>
      </c>
      <c r="T180" s="18">
        <f>(H180-B180)*100</f>
        <v/>
      </c>
      <c r="U180" s="20">
        <f>(T180-$D$13)/$E$13</f>
        <v/>
      </c>
      <c r="V180" s="18">
        <f>(H180-D180)*100</f>
        <v/>
      </c>
      <c r="W180" s="20">
        <f>(V180-$D$14)/$E$14</f>
        <v/>
      </c>
      <c r="X180" s="18">
        <f>(J180-H180)*100</f>
        <v/>
      </c>
      <c r="Y180" s="20">
        <f>(X180-$D$15)/$E$15</f>
        <v/>
      </c>
      <c r="Z180" s="18">
        <f>(J180-B180)*100</f>
        <v/>
      </c>
      <c r="AA180" s="20">
        <f>(Z180-$D$16)/$E$16</f>
        <v/>
      </c>
      <c r="AB180" s="18">
        <f>(2*F180-B180-H180)*100</f>
        <v/>
      </c>
      <c r="AC180" s="20">
        <f>(AB180-$D$17)/$E$17</f>
        <v/>
      </c>
      <c r="AD180" s="18">
        <f>L180-L181</f>
        <v/>
      </c>
      <c r="AE180" s="18">
        <f>N180-N181</f>
        <v/>
      </c>
      <c r="AF180" s="18">
        <f>P180-P181</f>
        <v/>
      </c>
      <c r="AG180" s="18">
        <f>R180-R181</f>
        <v/>
      </c>
      <c r="AH180" s="18">
        <f>T180-T181</f>
        <v/>
      </c>
      <c r="AI180" s="18">
        <f>V180-V181</f>
        <v/>
      </c>
      <c r="AJ180" s="18">
        <f>X180-X181</f>
        <v/>
      </c>
      <c r="AK180" s="18">
        <f>Z180-Z181</f>
        <v/>
      </c>
      <c r="AL180" s="18">
        <f>AB180-AB181</f>
        <v/>
      </c>
    </row>
    <row r="181">
      <c r="A181" s="16" t="n">
        <v>46044</v>
      </c>
      <c r="B181" s="17" t="n">
        <v>3.61</v>
      </c>
      <c r="C181" s="18">
        <f>(B181-B182)*100</f>
        <v/>
      </c>
      <c r="D181" s="17" t="n">
        <v>3.68</v>
      </c>
      <c r="E181" s="18">
        <f>(D181-D182)*100</f>
        <v/>
      </c>
      <c r="F181" s="17" t="n">
        <v>3.85</v>
      </c>
      <c r="G181" s="18">
        <f>(F181-F182)*100</f>
        <v/>
      </c>
      <c r="H181" s="17" t="n">
        <v>4.26</v>
      </c>
      <c r="I181" s="18">
        <f>(H181-H182)*100</f>
        <v/>
      </c>
      <c r="J181" s="17" t="n">
        <v>4.84</v>
      </c>
      <c r="K181" s="18">
        <f>(J181-J182)*100</f>
        <v/>
      </c>
      <c r="L181" s="18">
        <f>(F181-B181)*100</f>
        <v/>
      </c>
      <c r="M181" s="20">
        <f>(L181-$D$9)/$E$9</f>
        <v/>
      </c>
      <c r="N181" s="18">
        <f>(F181-D181)*100</f>
        <v/>
      </c>
      <c r="O181" s="20">
        <f>(N181-$D$10)/$E$10</f>
        <v/>
      </c>
      <c r="P181" s="18">
        <f>(H181-F181)*100</f>
        <v/>
      </c>
      <c r="Q181" s="20">
        <f>(P181-$D$11)/$E$11</f>
        <v/>
      </c>
      <c r="R181" s="18">
        <f>(J181-F181)*100</f>
        <v/>
      </c>
      <c r="S181" s="20">
        <f>(R181-$D$12)/$E$12</f>
        <v/>
      </c>
      <c r="T181" s="18">
        <f>(H181-B181)*100</f>
        <v/>
      </c>
      <c r="U181" s="20">
        <f>(T181-$D$13)/$E$13</f>
        <v/>
      </c>
      <c r="V181" s="18">
        <f>(H181-D181)*100</f>
        <v/>
      </c>
      <c r="W181" s="20">
        <f>(V181-$D$14)/$E$14</f>
        <v/>
      </c>
      <c r="X181" s="18">
        <f>(J181-H181)*100</f>
        <v/>
      </c>
      <c r="Y181" s="20">
        <f>(X181-$D$15)/$E$15</f>
        <v/>
      </c>
      <c r="Z181" s="18">
        <f>(J181-B181)*100</f>
        <v/>
      </c>
      <c r="AA181" s="20">
        <f>(Z181-$D$16)/$E$16</f>
        <v/>
      </c>
      <c r="AB181" s="18">
        <f>(2*F181-B181-H181)*100</f>
        <v/>
      </c>
      <c r="AC181" s="20">
        <f>(AB181-$D$17)/$E$17</f>
        <v/>
      </c>
      <c r="AD181" s="18">
        <f>L181-L182</f>
        <v/>
      </c>
      <c r="AE181" s="18">
        <f>N181-N182</f>
        <v/>
      </c>
      <c r="AF181" s="18">
        <f>P181-P182</f>
        <v/>
      </c>
      <c r="AG181" s="18">
        <f>R181-R182</f>
        <v/>
      </c>
      <c r="AH181" s="18">
        <f>T181-T182</f>
        <v/>
      </c>
      <c r="AI181" s="18">
        <f>V181-V182</f>
        <v/>
      </c>
      <c r="AJ181" s="18">
        <f>X181-X182</f>
        <v/>
      </c>
      <c r="AK181" s="18">
        <f>Z181-Z182</f>
        <v/>
      </c>
      <c r="AL181" s="18">
        <f>AB181-AB182</f>
        <v/>
      </c>
    </row>
    <row r="182">
      <c r="A182" s="16" t="n">
        <v>46043</v>
      </c>
      <c r="B182" s="17" t="n">
        <v>3.6</v>
      </c>
      <c r="C182" s="18">
        <f>(B182-B183)*100</f>
        <v/>
      </c>
      <c r="D182" s="17" t="n">
        <v>3.66</v>
      </c>
      <c r="E182" s="18">
        <f>(D182-D183)*100</f>
        <v/>
      </c>
      <c r="F182" s="17" t="n">
        <v>3.83</v>
      </c>
      <c r="G182" s="18">
        <f>(F182-F183)*100</f>
        <v/>
      </c>
      <c r="H182" s="17" t="n">
        <v>4.26</v>
      </c>
      <c r="I182" s="18">
        <f>(H182-H183)*100</f>
        <v/>
      </c>
      <c r="J182" s="17" t="n">
        <v>4.87</v>
      </c>
      <c r="K182" s="18">
        <f>(J182-J183)*100</f>
        <v/>
      </c>
      <c r="L182" s="18">
        <f>(F182-B182)*100</f>
        <v/>
      </c>
      <c r="M182" s="20">
        <f>(L182-$D$9)/$E$9</f>
        <v/>
      </c>
      <c r="N182" s="18">
        <f>(F182-D182)*100</f>
        <v/>
      </c>
      <c r="O182" s="20">
        <f>(N182-$D$10)/$E$10</f>
        <v/>
      </c>
      <c r="P182" s="18">
        <f>(H182-F182)*100</f>
        <v/>
      </c>
      <c r="Q182" s="20">
        <f>(P182-$D$11)/$E$11</f>
        <v/>
      </c>
      <c r="R182" s="18">
        <f>(J182-F182)*100</f>
        <v/>
      </c>
      <c r="S182" s="20">
        <f>(R182-$D$12)/$E$12</f>
        <v/>
      </c>
      <c r="T182" s="18">
        <f>(H182-B182)*100</f>
        <v/>
      </c>
      <c r="U182" s="20">
        <f>(T182-$D$13)/$E$13</f>
        <v/>
      </c>
      <c r="V182" s="18">
        <f>(H182-D182)*100</f>
        <v/>
      </c>
      <c r="W182" s="20">
        <f>(V182-$D$14)/$E$14</f>
        <v/>
      </c>
      <c r="X182" s="18">
        <f>(J182-H182)*100</f>
        <v/>
      </c>
      <c r="Y182" s="20">
        <f>(X182-$D$15)/$E$15</f>
        <v/>
      </c>
      <c r="Z182" s="18">
        <f>(J182-B182)*100</f>
        <v/>
      </c>
      <c r="AA182" s="20">
        <f>(Z182-$D$16)/$E$16</f>
        <v/>
      </c>
      <c r="AB182" s="18">
        <f>(2*F182-B182-H182)*100</f>
        <v/>
      </c>
      <c r="AC182" s="20">
        <f>(AB182-$D$17)/$E$17</f>
        <v/>
      </c>
      <c r="AD182" s="18">
        <f>L182-L183</f>
        <v/>
      </c>
      <c r="AE182" s="18">
        <f>N182-N183</f>
        <v/>
      </c>
      <c r="AF182" s="18">
        <f>P182-P183</f>
        <v/>
      </c>
      <c r="AG182" s="18">
        <f>R182-R183</f>
        <v/>
      </c>
      <c r="AH182" s="18">
        <f>T182-T183</f>
        <v/>
      </c>
      <c r="AI182" s="18">
        <f>V182-V183</f>
        <v/>
      </c>
      <c r="AJ182" s="18">
        <f>X182-X183</f>
        <v/>
      </c>
      <c r="AK182" s="18">
        <f>Z182-Z183</f>
        <v/>
      </c>
      <c r="AL182" s="18">
        <f>AB182-AB183</f>
        <v/>
      </c>
    </row>
    <row r="183">
      <c r="A183" s="16" t="n">
        <v>46042</v>
      </c>
      <c r="B183" s="17" t="n">
        <v>3.6</v>
      </c>
      <c r="C183" s="18">
        <f>(B183-B184)*100</f>
        <v/>
      </c>
      <c r="D183" s="17" t="n">
        <v>3.68</v>
      </c>
      <c r="E183" s="18">
        <f>(D183-D184)*100</f>
        <v/>
      </c>
      <c r="F183" s="17" t="n">
        <v>3.86</v>
      </c>
      <c r="G183" s="18">
        <f>(F183-F184)*100</f>
        <v/>
      </c>
      <c r="H183" s="17" t="n">
        <v>4.3</v>
      </c>
      <c r="I183" s="18">
        <f>(H183-H184)*100</f>
        <v/>
      </c>
      <c r="J183" s="17" t="n">
        <v>4.91</v>
      </c>
      <c r="K183" s="18">
        <f>(J183-J184)*100</f>
        <v/>
      </c>
      <c r="L183" s="18">
        <f>(F183-B183)*100</f>
        <v/>
      </c>
      <c r="M183" s="20">
        <f>(L183-$D$9)/$E$9</f>
        <v/>
      </c>
      <c r="N183" s="18">
        <f>(F183-D183)*100</f>
        <v/>
      </c>
      <c r="O183" s="20">
        <f>(N183-$D$10)/$E$10</f>
        <v/>
      </c>
      <c r="P183" s="18">
        <f>(H183-F183)*100</f>
        <v/>
      </c>
      <c r="Q183" s="20">
        <f>(P183-$D$11)/$E$11</f>
        <v/>
      </c>
      <c r="R183" s="18">
        <f>(J183-F183)*100</f>
        <v/>
      </c>
      <c r="S183" s="20">
        <f>(R183-$D$12)/$E$12</f>
        <v/>
      </c>
      <c r="T183" s="18">
        <f>(H183-B183)*100</f>
        <v/>
      </c>
      <c r="U183" s="20">
        <f>(T183-$D$13)/$E$13</f>
        <v/>
      </c>
      <c r="V183" s="18">
        <f>(H183-D183)*100</f>
        <v/>
      </c>
      <c r="W183" s="20">
        <f>(V183-$D$14)/$E$14</f>
        <v/>
      </c>
      <c r="X183" s="18">
        <f>(J183-H183)*100</f>
        <v/>
      </c>
      <c r="Y183" s="20">
        <f>(X183-$D$15)/$E$15</f>
        <v/>
      </c>
      <c r="Z183" s="18">
        <f>(J183-B183)*100</f>
        <v/>
      </c>
      <c r="AA183" s="20">
        <f>(Z183-$D$16)/$E$16</f>
        <v/>
      </c>
      <c r="AB183" s="18">
        <f>(2*F183-B183-H183)*100</f>
        <v/>
      </c>
      <c r="AC183" s="20">
        <f>(AB183-$D$17)/$E$17</f>
        <v/>
      </c>
      <c r="AD183" s="18">
        <f>L183-L184</f>
        <v/>
      </c>
      <c r="AE183" s="18">
        <f>N183-N184</f>
        <v/>
      </c>
      <c r="AF183" s="18">
        <f>P183-P184</f>
        <v/>
      </c>
      <c r="AG183" s="18">
        <f>R183-R184</f>
        <v/>
      </c>
      <c r="AH183" s="18">
        <f>T183-T184</f>
        <v/>
      </c>
      <c r="AI183" s="18">
        <f>V183-V184</f>
        <v/>
      </c>
      <c r="AJ183" s="18">
        <f>X183-X184</f>
        <v/>
      </c>
      <c r="AK183" s="18">
        <f>Z183-Z184</f>
        <v/>
      </c>
      <c r="AL183" s="18">
        <f>AB183-AB184</f>
        <v/>
      </c>
    </row>
    <row r="184">
      <c r="A184" s="16" t="n">
        <v>46038</v>
      </c>
      <c r="B184" s="17" t="n">
        <v>3.59</v>
      </c>
      <c r="C184" s="18">
        <f>(B184-B185)*100</f>
        <v/>
      </c>
      <c r="D184" s="17" t="n">
        <v>3.67</v>
      </c>
      <c r="E184" s="18">
        <f>(D184-D185)*100</f>
        <v/>
      </c>
      <c r="F184" s="17" t="n">
        <v>3.82</v>
      </c>
      <c r="G184" s="18">
        <f>(F184-F185)*100</f>
        <v/>
      </c>
      <c r="H184" s="17" t="n">
        <v>4.24</v>
      </c>
      <c r="I184" s="18">
        <f>(H184-H185)*100</f>
        <v/>
      </c>
      <c r="J184" s="17" t="n">
        <v>4.83</v>
      </c>
      <c r="K184" s="18">
        <f>(J184-J185)*100</f>
        <v/>
      </c>
      <c r="L184" s="18">
        <f>(F184-B184)*100</f>
        <v/>
      </c>
      <c r="M184" s="20">
        <f>(L184-$D$9)/$E$9</f>
        <v/>
      </c>
      <c r="N184" s="18">
        <f>(F184-D184)*100</f>
        <v/>
      </c>
      <c r="O184" s="20">
        <f>(N184-$D$10)/$E$10</f>
        <v/>
      </c>
      <c r="P184" s="18">
        <f>(H184-F184)*100</f>
        <v/>
      </c>
      <c r="Q184" s="20">
        <f>(P184-$D$11)/$E$11</f>
        <v/>
      </c>
      <c r="R184" s="18">
        <f>(J184-F184)*100</f>
        <v/>
      </c>
      <c r="S184" s="20">
        <f>(R184-$D$12)/$E$12</f>
        <v/>
      </c>
      <c r="T184" s="18">
        <f>(H184-B184)*100</f>
        <v/>
      </c>
      <c r="U184" s="20">
        <f>(T184-$D$13)/$E$13</f>
        <v/>
      </c>
      <c r="V184" s="18">
        <f>(H184-D184)*100</f>
        <v/>
      </c>
      <c r="W184" s="20">
        <f>(V184-$D$14)/$E$14</f>
        <v/>
      </c>
      <c r="X184" s="18">
        <f>(J184-H184)*100</f>
        <v/>
      </c>
      <c r="Y184" s="20">
        <f>(X184-$D$15)/$E$15</f>
        <v/>
      </c>
      <c r="Z184" s="18">
        <f>(J184-B184)*100</f>
        <v/>
      </c>
      <c r="AA184" s="20">
        <f>(Z184-$D$16)/$E$16</f>
        <v/>
      </c>
      <c r="AB184" s="18">
        <f>(2*F184-B184-H184)*100</f>
        <v/>
      </c>
      <c r="AC184" s="20">
        <f>(AB184-$D$17)/$E$17</f>
        <v/>
      </c>
      <c r="AD184" s="18">
        <f>L184-L185</f>
        <v/>
      </c>
      <c r="AE184" s="18">
        <f>N184-N185</f>
        <v/>
      </c>
      <c r="AF184" s="18">
        <f>P184-P185</f>
        <v/>
      </c>
      <c r="AG184" s="18">
        <f>R184-R185</f>
        <v/>
      </c>
      <c r="AH184" s="18">
        <f>T184-T185</f>
        <v/>
      </c>
      <c r="AI184" s="18">
        <f>V184-V185</f>
        <v/>
      </c>
      <c r="AJ184" s="18">
        <f>X184-X185</f>
        <v/>
      </c>
      <c r="AK184" s="18">
        <f>Z184-Z185</f>
        <v/>
      </c>
      <c r="AL184" s="18">
        <f>AB184-AB185</f>
        <v/>
      </c>
    </row>
    <row r="185">
      <c r="A185" s="16" t="n">
        <v>46037</v>
      </c>
      <c r="B185" s="17" t="n">
        <v>3.56</v>
      </c>
      <c r="C185" s="18">
        <f>(B185-B186)*100</f>
        <v/>
      </c>
      <c r="D185" s="17" t="n">
        <v>3.62</v>
      </c>
      <c r="E185" s="18">
        <f>(D185-D186)*100</f>
        <v/>
      </c>
      <c r="F185" s="17" t="n">
        <v>3.77</v>
      </c>
      <c r="G185" s="18">
        <f>(F185-F186)*100</f>
        <v/>
      </c>
      <c r="H185" s="17" t="n">
        <v>4.17</v>
      </c>
      <c r="I185" s="18">
        <f>(H185-H186)*100</f>
        <v/>
      </c>
      <c r="J185" s="17" t="n">
        <v>4.79</v>
      </c>
      <c r="K185" s="18">
        <f>(J185-J186)*100</f>
        <v/>
      </c>
      <c r="L185" s="18">
        <f>(F185-B185)*100</f>
        <v/>
      </c>
      <c r="M185" s="20">
        <f>(L185-$D$9)/$E$9</f>
        <v/>
      </c>
      <c r="N185" s="18">
        <f>(F185-D185)*100</f>
        <v/>
      </c>
      <c r="O185" s="20">
        <f>(N185-$D$10)/$E$10</f>
        <v/>
      </c>
      <c r="P185" s="18">
        <f>(H185-F185)*100</f>
        <v/>
      </c>
      <c r="Q185" s="20">
        <f>(P185-$D$11)/$E$11</f>
        <v/>
      </c>
      <c r="R185" s="18">
        <f>(J185-F185)*100</f>
        <v/>
      </c>
      <c r="S185" s="20">
        <f>(R185-$D$12)/$E$12</f>
        <v/>
      </c>
      <c r="T185" s="18">
        <f>(H185-B185)*100</f>
        <v/>
      </c>
      <c r="U185" s="20">
        <f>(T185-$D$13)/$E$13</f>
        <v/>
      </c>
      <c r="V185" s="18">
        <f>(H185-D185)*100</f>
        <v/>
      </c>
      <c r="W185" s="20">
        <f>(V185-$D$14)/$E$14</f>
        <v/>
      </c>
      <c r="X185" s="18">
        <f>(J185-H185)*100</f>
        <v/>
      </c>
      <c r="Y185" s="20">
        <f>(X185-$D$15)/$E$15</f>
        <v/>
      </c>
      <c r="Z185" s="18">
        <f>(J185-B185)*100</f>
        <v/>
      </c>
      <c r="AA185" s="20">
        <f>(Z185-$D$16)/$E$16</f>
        <v/>
      </c>
      <c r="AB185" s="18">
        <f>(2*F185-B185-H185)*100</f>
        <v/>
      </c>
      <c r="AC185" s="20">
        <f>(AB185-$D$17)/$E$17</f>
        <v/>
      </c>
      <c r="AD185" s="18">
        <f>L185-L186</f>
        <v/>
      </c>
      <c r="AE185" s="18">
        <f>N185-N186</f>
        <v/>
      </c>
      <c r="AF185" s="18">
        <f>P185-P186</f>
        <v/>
      </c>
      <c r="AG185" s="18">
        <f>R185-R186</f>
        <v/>
      </c>
      <c r="AH185" s="18">
        <f>T185-T186</f>
        <v/>
      </c>
      <c r="AI185" s="18">
        <f>V185-V186</f>
        <v/>
      </c>
      <c r="AJ185" s="18">
        <f>X185-X186</f>
        <v/>
      </c>
      <c r="AK185" s="18">
        <f>Z185-Z186</f>
        <v/>
      </c>
      <c r="AL185" s="18">
        <f>AB185-AB186</f>
        <v/>
      </c>
    </row>
    <row r="186">
      <c r="A186" s="16" t="n">
        <v>46036</v>
      </c>
      <c r="B186" s="17" t="n">
        <v>3.51</v>
      </c>
      <c r="C186" s="18">
        <f>(B186-B187)*100</f>
        <v/>
      </c>
      <c r="D186" s="17" t="n">
        <v>3.56</v>
      </c>
      <c r="E186" s="18">
        <f>(D186-D187)*100</f>
        <v/>
      </c>
      <c r="F186" s="17" t="n">
        <v>3.72</v>
      </c>
      <c r="G186" s="18">
        <f>(F186-F187)*100</f>
        <v/>
      </c>
      <c r="H186" s="17" t="n">
        <v>4.15</v>
      </c>
      <c r="I186" s="18">
        <f>(H186-H187)*100</f>
        <v/>
      </c>
      <c r="J186" s="17" t="n">
        <v>4.79</v>
      </c>
      <c r="K186" s="18">
        <f>(J186-J187)*100</f>
        <v/>
      </c>
      <c r="L186" s="18">
        <f>(F186-B186)*100</f>
        <v/>
      </c>
      <c r="M186" s="20">
        <f>(L186-$D$9)/$E$9</f>
        <v/>
      </c>
      <c r="N186" s="18">
        <f>(F186-D186)*100</f>
        <v/>
      </c>
      <c r="O186" s="20">
        <f>(N186-$D$10)/$E$10</f>
        <v/>
      </c>
      <c r="P186" s="18">
        <f>(H186-F186)*100</f>
        <v/>
      </c>
      <c r="Q186" s="20">
        <f>(P186-$D$11)/$E$11</f>
        <v/>
      </c>
      <c r="R186" s="18">
        <f>(J186-F186)*100</f>
        <v/>
      </c>
      <c r="S186" s="20">
        <f>(R186-$D$12)/$E$12</f>
        <v/>
      </c>
      <c r="T186" s="18">
        <f>(H186-B186)*100</f>
        <v/>
      </c>
      <c r="U186" s="20">
        <f>(T186-$D$13)/$E$13</f>
        <v/>
      </c>
      <c r="V186" s="18">
        <f>(H186-D186)*100</f>
        <v/>
      </c>
      <c r="W186" s="20">
        <f>(V186-$D$14)/$E$14</f>
        <v/>
      </c>
      <c r="X186" s="18">
        <f>(J186-H186)*100</f>
        <v/>
      </c>
      <c r="Y186" s="20">
        <f>(X186-$D$15)/$E$15</f>
        <v/>
      </c>
      <c r="Z186" s="18">
        <f>(J186-B186)*100</f>
        <v/>
      </c>
      <c r="AA186" s="20">
        <f>(Z186-$D$16)/$E$16</f>
        <v/>
      </c>
      <c r="AB186" s="18">
        <f>(2*F186-B186-H186)*100</f>
        <v/>
      </c>
      <c r="AC186" s="20">
        <f>(AB186-$D$17)/$E$17</f>
        <v/>
      </c>
      <c r="AD186" s="18">
        <f>L186-L187</f>
        <v/>
      </c>
      <c r="AE186" s="18">
        <f>N186-N187</f>
        <v/>
      </c>
      <c r="AF186" s="18">
        <f>P186-P187</f>
        <v/>
      </c>
      <c r="AG186" s="18">
        <f>R186-R187</f>
        <v/>
      </c>
      <c r="AH186" s="18">
        <f>T186-T187</f>
        <v/>
      </c>
      <c r="AI186" s="18">
        <f>V186-V187</f>
        <v/>
      </c>
      <c r="AJ186" s="18">
        <f>X186-X187</f>
        <v/>
      </c>
      <c r="AK186" s="18">
        <f>Z186-Z187</f>
        <v/>
      </c>
      <c r="AL186" s="18">
        <f>AB186-AB187</f>
        <v/>
      </c>
    </row>
    <row r="187">
      <c r="A187" s="16" t="n">
        <v>46035</v>
      </c>
      <c r="B187" s="17" t="n">
        <v>3.53</v>
      </c>
      <c r="C187" s="18">
        <f>(B187-B188)*100</f>
        <v/>
      </c>
      <c r="D187" s="17" t="n">
        <v>3.57</v>
      </c>
      <c r="E187" s="18">
        <f>(D187-D188)*100</f>
        <v/>
      </c>
      <c r="F187" s="17" t="n">
        <v>3.75</v>
      </c>
      <c r="G187" s="18">
        <f>(F187-F188)*100</f>
        <v/>
      </c>
      <c r="H187" s="17" t="n">
        <v>4.18</v>
      </c>
      <c r="I187" s="18">
        <f>(H187-H188)*100</f>
        <v/>
      </c>
      <c r="J187" s="17" t="n">
        <v>4.83</v>
      </c>
      <c r="K187" s="18">
        <f>(J187-J188)*100</f>
        <v/>
      </c>
      <c r="L187" s="18">
        <f>(F187-B187)*100</f>
        <v/>
      </c>
      <c r="M187" s="20">
        <f>(L187-$D$9)/$E$9</f>
        <v/>
      </c>
      <c r="N187" s="18">
        <f>(F187-D187)*100</f>
        <v/>
      </c>
      <c r="O187" s="20">
        <f>(N187-$D$10)/$E$10</f>
        <v/>
      </c>
      <c r="P187" s="18">
        <f>(H187-F187)*100</f>
        <v/>
      </c>
      <c r="Q187" s="20">
        <f>(P187-$D$11)/$E$11</f>
        <v/>
      </c>
      <c r="R187" s="18">
        <f>(J187-F187)*100</f>
        <v/>
      </c>
      <c r="S187" s="20">
        <f>(R187-$D$12)/$E$12</f>
        <v/>
      </c>
      <c r="T187" s="18">
        <f>(H187-B187)*100</f>
        <v/>
      </c>
      <c r="U187" s="20">
        <f>(T187-$D$13)/$E$13</f>
        <v/>
      </c>
      <c r="V187" s="18">
        <f>(H187-D187)*100</f>
        <v/>
      </c>
      <c r="W187" s="20">
        <f>(V187-$D$14)/$E$14</f>
        <v/>
      </c>
      <c r="X187" s="18">
        <f>(J187-H187)*100</f>
        <v/>
      </c>
      <c r="Y187" s="20">
        <f>(X187-$D$15)/$E$15</f>
        <v/>
      </c>
      <c r="Z187" s="18">
        <f>(J187-B187)*100</f>
        <v/>
      </c>
      <c r="AA187" s="20">
        <f>(Z187-$D$16)/$E$16</f>
        <v/>
      </c>
      <c r="AB187" s="18">
        <f>(2*F187-B187-H187)*100</f>
        <v/>
      </c>
      <c r="AC187" s="20">
        <f>(AB187-$D$17)/$E$17</f>
        <v/>
      </c>
      <c r="AD187" s="18">
        <f>L187-L188</f>
        <v/>
      </c>
      <c r="AE187" s="18">
        <f>N187-N188</f>
        <v/>
      </c>
      <c r="AF187" s="18">
        <f>P187-P188</f>
        <v/>
      </c>
      <c r="AG187" s="18">
        <f>R187-R188</f>
        <v/>
      </c>
      <c r="AH187" s="18">
        <f>T187-T188</f>
        <v/>
      </c>
      <c r="AI187" s="18">
        <f>V187-V188</f>
        <v/>
      </c>
      <c r="AJ187" s="18">
        <f>X187-X188</f>
        <v/>
      </c>
      <c r="AK187" s="18">
        <f>Z187-Z188</f>
        <v/>
      </c>
      <c r="AL187" s="18">
        <f>AB187-AB188</f>
        <v/>
      </c>
    </row>
    <row r="188">
      <c r="A188" s="16" t="n">
        <v>46034</v>
      </c>
      <c r="B188" s="17" t="n">
        <v>3.54</v>
      </c>
      <c r="C188" s="18">
        <f>(B188-B189)*100</f>
        <v/>
      </c>
      <c r="D188" s="17" t="n">
        <v>3.59</v>
      </c>
      <c r="E188" s="18">
        <f>(D188-D189)*100</f>
        <v/>
      </c>
      <c r="F188" s="17" t="n">
        <v>3.77</v>
      </c>
      <c r="G188" s="18">
        <f>(F188-F189)*100</f>
        <v/>
      </c>
      <c r="H188" s="17" t="n">
        <v>4.19</v>
      </c>
      <c r="I188" s="18">
        <f>(H188-H189)*100</f>
        <v/>
      </c>
      <c r="J188" s="17" t="n">
        <v>4.83</v>
      </c>
      <c r="K188" s="18">
        <f>(J188-J189)*100</f>
        <v/>
      </c>
      <c r="L188" s="18">
        <f>(F188-B188)*100</f>
        <v/>
      </c>
      <c r="M188" s="20">
        <f>(L188-$D$9)/$E$9</f>
        <v/>
      </c>
      <c r="N188" s="18">
        <f>(F188-D188)*100</f>
        <v/>
      </c>
      <c r="O188" s="20">
        <f>(N188-$D$10)/$E$10</f>
        <v/>
      </c>
      <c r="P188" s="18">
        <f>(H188-F188)*100</f>
        <v/>
      </c>
      <c r="Q188" s="20">
        <f>(P188-$D$11)/$E$11</f>
        <v/>
      </c>
      <c r="R188" s="18">
        <f>(J188-F188)*100</f>
        <v/>
      </c>
      <c r="S188" s="20">
        <f>(R188-$D$12)/$E$12</f>
        <v/>
      </c>
      <c r="T188" s="18">
        <f>(H188-B188)*100</f>
        <v/>
      </c>
      <c r="U188" s="20">
        <f>(T188-$D$13)/$E$13</f>
        <v/>
      </c>
      <c r="V188" s="18">
        <f>(H188-D188)*100</f>
        <v/>
      </c>
      <c r="W188" s="20">
        <f>(V188-$D$14)/$E$14</f>
        <v/>
      </c>
      <c r="X188" s="18">
        <f>(J188-H188)*100</f>
        <v/>
      </c>
      <c r="Y188" s="20">
        <f>(X188-$D$15)/$E$15</f>
        <v/>
      </c>
      <c r="Z188" s="18">
        <f>(J188-B188)*100</f>
        <v/>
      </c>
      <c r="AA188" s="20">
        <f>(Z188-$D$16)/$E$16</f>
        <v/>
      </c>
      <c r="AB188" s="18">
        <f>(2*F188-B188-H188)*100</f>
        <v/>
      </c>
      <c r="AC188" s="20">
        <f>(AB188-$D$17)/$E$17</f>
        <v/>
      </c>
      <c r="AD188" s="18">
        <f>L188-L189</f>
        <v/>
      </c>
      <c r="AE188" s="18">
        <f>N188-N189</f>
        <v/>
      </c>
      <c r="AF188" s="18">
        <f>P188-P189</f>
        <v/>
      </c>
      <c r="AG188" s="18">
        <f>R188-R189</f>
        <v/>
      </c>
      <c r="AH188" s="18">
        <f>T188-T189</f>
        <v/>
      </c>
      <c r="AI188" s="18">
        <f>V188-V189</f>
        <v/>
      </c>
      <c r="AJ188" s="18">
        <f>X188-X189</f>
        <v/>
      </c>
      <c r="AK188" s="18">
        <f>Z188-Z189</f>
        <v/>
      </c>
      <c r="AL188" s="18">
        <f>AB188-AB189</f>
        <v/>
      </c>
    </row>
    <row r="189">
      <c r="A189" s="16" t="n">
        <v>46031</v>
      </c>
      <c r="B189" s="17" t="n">
        <v>3.54</v>
      </c>
      <c r="C189" s="18">
        <f>(B189-B190)*100</f>
        <v/>
      </c>
      <c r="D189" s="17" t="n">
        <v>3.59</v>
      </c>
      <c r="E189" s="18">
        <f>(D189-D190)*100</f>
        <v/>
      </c>
      <c r="F189" s="17" t="n">
        <v>3.75</v>
      </c>
      <c r="G189" s="18">
        <f>(F189-F190)*100</f>
        <v/>
      </c>
      <c r="H189" s="17" t="n">
        <v>4.18</v>
      </c>
      <c r="I189" s="18">
        <f>(H189-H190)*100</f>
        <v/>
      </c>
      <c r="J189" s="17" t="n">
        <v>4.82</v>
      </c>
      <c r="K189" s="18">
        <f>(J189-J190)*100</f>
        <v/>
      </c>
      <c r="L189" s="18">
        <f>(F189-B189)*100</f>
        <v/>
      </c>
      <c r="M189" s="20">
        <f>(L189-$D$9)/$E$9</f>
        <v/>
      </c>
      <c r="N189" s="18">
        <f>(F189-D189)*100</f>
        <v/>
      </c>
      <c r="O189" s="20">
        <f>(N189-$D$10)/$E$10</f>
        <v/>
      </c>
      <c r="P189" s="18">
        <f>(H189-F189)*100</f>
        <v/>
      </c>
      <c r="Q189" s="20">
        <f>(P189-$D$11)/$E$11</f>
        <v/>
      </c>
      <c r="R189" s="18">
        <f>(J189-F189)*100</f>
        <v/>
      </c>
      <c r="S189" s="20">
        <f>(R189-$D$12)/$E$12</f>
        <v/>
      </c>
      <c r="T189" s="18">
        <f>(H189-B189)*100</f>
        <v/>
      </c>
      <c r="U189" s="20">
        <f>(T189-$D$13)/$E$13</f>
        <v/>
      </c>
      <c r="V189" s="18">
        <f>(H189-D189)*100</f>
        <v/>
      </c>
      <c r="W189" s="20">
        <f>(V189-$D$14)/$E$14</f>
        <v/>
      </c>
      <c r="X189" s="18">
        <f>(J189-H189)*100</f>
        <v/>
      </c>
      <c r="Y189" s="20">
        <f>(X189-$D$15)/$E$15</f>
        <v/>
      </c>
      <c r="Z189" s="18">
        <f>(J189-B189)*100</f>
        <v/>
      </c>
      <c r="AA189" s="20">
        <f>(Z189-$D$16)/$E$16</f>
        <v/>
      </c>
      <c r="AB189" s="18">
        <f>(2*F189-B189-H189)*100</f>
        <v/>
      </c>
      <c r="AC189" s="20">
        <f>(AB189-$D$17)/$E$17</f>
        <v/>
      </c>
      <c r="AD189" s="18">
        <f>L189-L190</f>
        <v/>
      </c>
      <c r="AE189" s="18">
        <f>N189-N190</f>
        <v/>
      </c>
      <c r="AF189" s="18">
        <f>P189-P190</f>
        <v/>
      </c>
      <c r="AG189" s="18">
        <f>R189-R190</f>
        <v/>
      </c>
      <c r="AH189" s="18">
        <f>T189-T190</f>
        <v/>
      </c>
      <c r="AI189" s="18">
        <f>V189-V190</f>
        <v/>
      </c>
      <c r="AJ189" s="18">
        <f>X189-X190</f>
        <v/>
      </c>
      <c r="AK189" s="18">
        <f>Z189-Z190</f>
        <v/>
      </c>
      <c r="AL189" s="18">
        <f>AB189-AB190</f>
        <v/>
      </c>
    </row>
    <row r="190">
      <c r="A190" s="16" t="n">
        <v>46030</v>
      </c>
      <c r="B190" s="17" t="n">
        <v>3.49</v>
      </c>
      <c r="C190" s="18">
        <f>(B190-B191)*100</f>
        <v/>
      </c>
      <c r="D190" s="17" t="n">
        <v>3.56</v>
      </c>
      <c r="E190" s="18">
        <f>(D190-D191)*100</f>
        <v/>
      </c>
      <c r="F190" s="17" t="n">
        <v>3.74</v>
      </c>
      <c r="G190" s="18">
        <f>(F190-F191)*100</f>
        <v/>
      </c>
      <c r="H190" s="17" t="n">
        <v>4.19</v>
      </c>
      <c r="I190" s="18">
        <f>(H190-H191)*100</f>
        <v/>
      </c>
      <c r="J190" s="17" t="n">
        <v>4.85</v>
      </c>
      <c r="K190" s="18">
        <f>(J190-J191)*100</f>
        <v/>
      </c>
      <c r="L190" s="18">
        <f>(F190-B190)*100</f>
        <v/>
      </c>
      <c r="M190" s="20">
        <f>(L190-$D$9)/$E$9</f>
        <v/>
      </c>
      <c r="N190" s="18">
        <f>(F190-D190)*100</f>
        <v/>
      </c>
      <c r="O190" s="20">
        <f>(N190-$D$10)/$E$10</f>
        <v/>
      </c>
      <c r="P190" s="18">
        <f>(H190-F190)*100</f>
        <v/>
      </c>
      <c r="Q190" s="20">
        <f>(P190-$D$11)/$E$11</f>
        <v/>
      </c>
      <c r="R190" s="18">
        <f>(J190-F190)*100</f>
        <v/>
      </c>
      <c r="S190" s="20">
        <f>(R190-$D$12)/$E$12</f>
        <v/>
      </c>
      <c r="T190" s="18">
        <f>(H190-B190)*100</f>
        <v/>
      </c>
      <c r="U190" s="20">
        <f>(T190-$D$13)/$E$13</f>
        <v/>
      </c>
      <c r="V190" s="18">
        <f>(H190-D190)*100</f>
        <v/>
      </c>
      <c r="W190" s="20">
        <f>(V190-$D$14)/$E$14</f>
        <v/>
      </c>
      <c r="X190" s="18">
        <f>(J190-H190)*100</f>
        <v/>
      </c>
      <c r="Y190" s="20">
        <f>(X190-$D$15)/$E$15</f>
        <v/>
      </c>
      <c r="Z190" s="18">
        <f>(J190-B190)*100</f>
        <v/>
      </c>
      <c r="AA190" s="20">
        <f>(Z190-$D$16)/$E$16</f>
        <v/>
      </c>
      <c r="AB190" s="18">
        <f>(2*F190-B190-H190)*100</f>
        <v/>
      </c>
      <c r="AC190" s="20">
        <f>(AB190-$D$17)/$E$17</f>
        <v/>
      </c>
      <c r="AD190" s="18">
        <f>L190-L191</f>
        <v/>
      </c>
      <c r="AE190" s="18">
        <f>N190-N191</f>
        <v/>
      </c>
      <c r="AF190" s="18">
        <f>P190-P191</f>
        <v/>
      </c>
      <c r="AG190" s="18">
        <f>R190-R191</f>
        <v/>
      </c>
      <c r="AH190" s="18">
        <f>T190-T191</f>
        <v/>
      </c>
      <c r="AI190" s="18">
        <f>V190-V191</f>
        <v/>
      </c>
      <c r="AJ190" s="18">
        <f>X190-X191</f>
        <v/>
      </c>
      <c r="AK190" s="18">
        <f>Z190-Z191</f>
        <v/>
      </c>
      <c r="AL190" s="18">
        <f>AB190-AB191</f>
        <v/>
      </c>
    </row>
    <row r="191">
      <c r="A191" s="16" t="n">
        <v>46029</v>
      </c>
      <c r="B191" s="17" t="n">
        <v>3.47</v>
      </c>
      <c r="C191" s="18">
        <f>(B191-B192)*100</f>
        <v/>
      </c>
      <c r="D191" s="17" t="n">
        <v>3.53</v>
      </c>
      <c r="E191" s="18">
        <f>(D191-D192)*100</f>
        <v/>
      </c>
      <c r="F191" s="17" t="n">
        <v>3.7</v>
      </c>
      <c r="G191" s="18">
        <f>(F191-F192)*100</f>
        <v/>
      </c>
      <c r="H191" s="17" t="n">
        <v>4.15</v>
      </c>
      <c r="I191" s="18">
        <f>(H191-H192)*100</f>
        <v/>
      </c>
      <c r="J191" s="17" t="n">
        <v>4.82</v>
      </c>
      <c r="K191" s="18">
        <f>(J191-J192)*100</f>
        <v/>
      </c>
      <c r="L191" s="18">
        <f>(F191-B191)*100</f>
        <v/>
      </c>
      <c r="M191" s="20">
        <f>(L191-$D$9)/$E$9</f>
        <v/>
      </c>
      <c r="N191" s="18">
        <f>(F191-D191)*100</f>
        <v/>
      </c>
      <c r="O191" s="20">
        <f>(N191-$D$10)/$E$10</f>
        <v/>
      </c>
      <c r="P191" s="18">
        <f>(H191-F191)*100</f>
        <v/>
      </c>
      <c r="Q191" s="20">
        <f>(P191-$D$11)/$E$11</f>
        <v/>
      </c>
      <c r="R191" s="18">
        <f>(J191-F191)*100</f>
        <v/>
      </c>
      <c r="S191" s="20">
        <f>(R191-$D$12)/$E$12</f>
        <v/>
      </c>
      <c r="T191" s="18">
        <f>(H191-B191)*100</f>
        <v/>
      </c>
      <c r="U191" s="20">
        <f>(T191-$D$13)/$E$13</f>
        <v/>
      </c>
      <c r="V191" s="18">
        <f>(H191-D191)*100</f>
        <v/>
      </c>
      <c r="W191" s="20">
        <f>(V191-$D$14)/$E$14</f>
        <v/>
      </c>
      <c r="X191" s="18">
        <f>(J191-H191)*100</f>
        <v/>
      </c>
      <c r="Y191" s="20">
        <f>(X191-$D$15)/$E$15</f>
        <v/>
      </c>
      <c r="Z191" s="18">
        <f>(J191-B191)*100</f>
        <v/>
      </c>
      <c r="AA191" s="20">
        <f>(Z191-$D$16)/$E$16</f>
        <v/>
      </c>
      <c r="AB191" s="18">
        <f>(2*F191-B191-H191)*100</f>
        <v/>
      </c>
      <c r="AC191" s="20">
        <f>(AB191-$D$17)/$E$17</f>
        <v/>
      </c>
      <c r="AD191" s="18">
        <f>L191-L192</f>
        <v/>
      </c>
      <c r="AE191" s="18">
        <f>N191-N192</f>
        <v/>
      </c>
      <c r="AF191" s="18">
        <f>P191-P192</f>
        <v/>
      </c>
      <c r="AG191" s="18">
        <f>R191-R192</f>
        <v/>
      </c>
      <c r="AH191" s="18">
        <f>T191-T192</f>
        <v/>
      </c>
      <c r="AI191" s="18">
        <f>V191-V192</f>
        <v/>
      </c>
      <c r="AJ191" s="18">
        <f>X191-X192</f>
        <v/>
      </c>
      <c r="AK191" s="18">
        <f>Z191-Z192</f>
        <v/>
      </c>
      <c r="AL191" s="18">
        <f>AB191-AB192</f>
        <v/>
      </c>
    </row>
    <row r="192">
      <c r="A192" s="16" t="n">
        <v>46028</v>
      </c>
      <c r="B192" s="17" t="n">
        <v>3.47</v>
      </c>
      <c r="C192" s="18">
        <f>(B192-B193)*100</f>
        <v/>
      </c>
      <c r="D192" s="17" t="n">
        <v>3.54</v>
      </c>
      <c r="E192" s="18">
        <f>(D192-D193)*100</f>
        <v/>
      </c>
      <c r="F192" s="17" t="n">
        <v>3.72</v>
      </c>
      <c r="G192" s="18">
        <f>(F192-F193)*100</f>
        <v/>
      </c>
      <c r="H192" s="17" t="n">
        <v>4.18</v>
      </c>
      <c r="I192" s="18">
        <f>(H192-H193)*100</f>
        <v/>
      </c>
      <c r="J192" s="17" t="n">
        <v>4.86</v>
      </c>
      <c r="K192" s="18">
        <f>(J192-J193)*100</f>
        <v/>
      </c>
      <c r="L192" s="18">
        <f>(F192-B192)*100</f>
        <v/>
      </c>
      <c r="M192" s="20">
        <f>(L192-$D$9)/$E$9</f>
        <v/>
      </c>
      <c r="N192" s="18">
        <f>(F192-D192)*100</f>
        <v/>
      </c>
      <c r="O192" s="20">
        <f>(N192-$D$10)/$E$10</f>
        <v/>
      </c>
      <c r="P192" s="18">
        <f>(H192-F192)*100</f>
        <v/>
      </c>
      <c r="Q192" s="20">
        <f>(P192-$D$11)/$E$11</f>
        <v/>
      </c>
      <c r="R192" s="18">
        <f>(J192-F192)*100</f>
        <v/>
      </c>
      <c r="S192" s="20">
        <f>(R192-$D$12)/$E$12</f>
        <v/>
      </c>
      <c r="T192" s="18">
        <f>(H192-B192)*100</f>
        <v/>
      </c>
      <c r="U192" s="20">
        <f>(T192-$D$13)/$E$13</f>
        <v/>
      </c>
      <c r="V192" s="18">
        <f>(H192-D192)*100</f>
        <v/>
      </c>
      <c r="W192" s="20">
        <f>(V192-$D$14)/$E$14</f>
        <v/>
      </c>
      <c r="X192" s="18">
        <f>(J192-H192)*100</f>
        <v/>
      </c>
      <c r="Y192" s="20">
        <f>(X192-$D$15)/$E$15</f>
        <v/>
      </c>
      <c r="Z192" s="18">
        <f>(J192-B192)*100</f>
        <v/>
      </c>
      <c r="AA192" s="20">
        <f>(Z192-$D$16)/$E$16</f>
        <v/>
      </c>
      <c r="AB192" s="18">
        <f>(2*F192-B192-H192)*100</f>
        <v/>
      </c>
      <c r="AC192" s="20">
        <f>(AB192-$D$17)/$E$17</f>
        <v/>
      </c>
      <c r="AD192" s="18">
        <f>L192-L193</f>
        <v/>
      </c>
      <c r="AE192" s="18">
        <f>N192-N193</f>
        <v/>
      </c>
      <c r="AF192" s="18">
        <f>P192-P193</f>
        <v/>
      </c>
      <c r="AG192" s="18">
        <f>R192-R193</f>
        <v/>
      </c>
      <c r="AH192" s="18">
        <f>T192-T193</f>
        <v/>
      </c>
      <c r="AI192" s="18">
        <f>V192-V193</f>
        <v/>
      </c>
      <c r="AJ192" s="18">
        <f>X192-X193</f>
        <v/>
      </c>
      <c r="AK192" s="18">
        <f>Z192-Z193</f>
        <v/>
      </c>
      <c r="AL192" s="18">
        <f>AB192-AB193</f>
        <v/>
      </c>
    </row>
    <row r="193">
      <c r="A193" s="16" t="n">
        <v>46027</v>
      </c>
      <c r="B193" s="17" t="n">
        <v>3.46</v>
      </c>
      <c r="C193" s="18">
        <f>(B193-B194)*100</f>
        <v/>
      </c>
      <c r="D193" s="17" t="n">
        <v>3.53</v>
      </c>
      <c r="E193" s="18">
        <f>(D193-D194)*100</f>
        <v/>
      </c>
      <c r="F193" s="17" t="n">
        <v>3.71</v>
      </c>
      <c r="G193" s="18">
        <f>(F193-F194)*100</f>
        <v/>
      </c>
      <c r="H193" s="17" t="n">
        <v>4.17</v>
      </c>
      <c r="I193" s="18">
        <f>(H193-H194)*100</f>
        <v/>
      </c>
      <c r="J193" s="17" t="n">
        <v>4.85</v>
      </c>
      <c r="K193" s="18">
        <f>(J193-J194)*100</f>
        <v/>
      </c>
      <c r="L193" s="18">
        <f>(F193-B193)*100</f>
        <v/>
      </c>
      <c r="M193" s="20">
        <f>(L193-$D$9)/$E$9</f>
        <v/>
      </c>
      <c r="N193" s="18">
        <f>(F193-D193)*100</f>
        <v/>
      </c>
      <c r="O193" s="20">
        <f>(N193-$D$10)/$E$10</f>
        <v/>
      </c>
      <c r="P193" s="18">
        <f>(H193-F193)*100</f>
        <v/>
      </c>
      <c r="Q193" s="20">
        <f>(P193-$D$11)/$E$11</f>
        <v/>
      </c>
      <c r="R193" s="18">
        <f>(J193-F193)*100</f>
        <v/>
      </c>
      <c r="S193" s="20">
        <f>(R193-$D$12)/$E$12</f>
        <v/>
      </c>
      <c r="T193" s="18">
        <f>(H193-B193)*100</f>
        <v/>
      </c>
      <c r="U193" s="20">
        <f>(T193-$D$13)/$E$13</f>
        <v/>
      </c>
      <c r="V193" s="18">
        <f>(H193-D193)*100</f>
        <v/>
      </c>
      <c r="W193" s="20">
        <f>(V193-$D$14)/$E$14</f>
        <v/>
      </c>
      <c r="X193" s="18">
        <f>(J193-H193)*100</f>
        <v/>
      </c>
      <c r="Y193" s="20">
        <f>(X193-$D$15)/$E$15</f>
        <v/>
      </c>
      <c r="Z193" s="18">
        <f>(J193-B193)*100</f>
        <v/>
      </c>
      <c r="AA193" s="20">
        <f>(Z193-$D$16)/$E$16</f>
        <v/>
      </c>
      <c r="AB193" s="18">
        <f>(2*F193-B193-H193)*100</f>
        <v/>
      </c>
      <c r="AC193" s="20">
        <f>(AB193-$D$17)/$E$17</f>
        <v/>
      </c>
      <c r="AD193" s="18">
        <f>L193-L194</f>
        <v/>
      </c>
      <c r="AE193" s="18">
        <f>N193-N194</f>
        <v/>
      </c>
      <c r="AF193" s="18">
        <f>P193-P194</f>
        <v/>
      </c>
      <c r="AG193" s="18">
        <f>R193-R194</f>
        <v/>
      </c>
      <c r="AH193" s="18">
        <f>T193-T194</f>
        <v/>
      </c>
      <c r="AI193" s="18">
        <f>V193-V194</f>
        <v/>
      </c>
      <c r="AJ193" s="18">
        <f>X193-X194</f>
        <v/>
      </c>
      <c r="AK193" s="18">
        <f>Z193-Z194</f>
        <v/>
      </c>
      <c r="AL193" s="18">
        <f>AB193-AB194</f>
        <v/>
      </c>
    </row>
    <row r="194">
      <c r="A194" s="16" t="n">
        <v>46024</v>
      </c>
      <c r="B194" s="17" t="n">
        <v>3.47</v>
      </c>
      <c r="C194" s="18">
        <f>(B194-B195)*100</f>
        <v/>
      </c>
      <c r="D194" s="17" t="n">
        <v>3.55</v>
      </c>
      <c r="E194" s="18">
        <f>(D194-D195)*100</f>
        <v/>
      </c>
      <c r="F194" s="17" t="n">
        <v>3.74</v>
      </c>
      <c r="G194" s="18">
        <f>(F194-F195)*100</f>
        <v/>
      </c>
      <c r="H194" s="17" t="n">
        <v>4.19</v>
      </c>
      <c r="I194" s="18">
        <f>(H194-H195)*100</f>
        <v/>
      </c>
      <c r="J194" s="17" t="n">
        <v>4.86</v>
      </c>
      <c r="K194" s="18">
        <f>(J194-J195)*100</f>
        <v/>
      </c>
      <c r="L194" s="18">
        <f>(F194-B194)*100</f>
        <v/>
      </c>
      <c r="M194" s="20">
        <f>(L194-$D$9)/$E$9</f>
        <v/>
      </c>
      <c r="N194" s="18">
        <f>(F194-D194)*100</f>
        <v/>
      </c>
      <c r="O194" s="20">
        <f>(N194-$D$10)/$E$10</f>
        <v/>
      </c>
      <c r="P194" s="18">
        <f>(H194-F194)*100</f>
        <v/>
      </c>
      <c r="Q194" s="20">
        <f>(P194-$D$11)/$E$11</f>
        <v/>
      </c>
      <c r="R194" s="18">
        <f>(J194-F194)*100</f>
        <v/>
      </c>
      <c r="S194" s="20">
        <f>(R194-$D$12)/$E$12</f>
        <v/>
      </c>
      <c r="T194" s="18">
        <f>(H194-B194)*100</f>
        <v/>
      </c>
      <c r="U194" s="20">
        <f>(T194-$D$13)/$E$13</f>
        <v/>
      </c>
      <c r="V194" s="18">
        <f>(H194-D194)*100</f>
        <v/>
      </c>
      <c r="W194" s="20">
        <f>(V194-$D$14)/$E$14</f>
        <v/>
      </c>
      <c r="X194" s="18">
        <f>(J194-H194)*100</f>
        <v/>
      </c>
      <c r="Y194" s="20">
        <f>(X194-$D$15)/$E$15</f>
        <v/>
      </c>
      <c r="Z194" s="18">
        <f>(J194-B194)*100</f>
        <v/>
      </c>
      <c r="AA194" s="20">
        <f>(Z194-$D$16)/$E$16</f>
        <v/>
      </c>
      <c r="AB194" s="18">
        <f>(2*F194-B194-H194)*100</f>
        <v/>
      </c>
      <c r="AC194" s="20">
        <f>(AB194-$D$17)/$E$17</f>
        <v/>
      </c>
      <c r="AD194" s="18">
        <f>L194-L195</f>
        <v/>
      </c>
      <c r="AE194" s="18">
        <f>N194-N195</f>
        <v/>
      </c>
      <c r="AF194" s="18">
        <f>P194-P195</f>
        <v/>
      </c>
      <c r="AG194" s="18">
        <f>R194-R195</f>
        <v/>
      </c>
      <c r="AH194" s="18">
        <f>T194-T195</f>
        <v/>
      </c>
      <c r="AI194" s="18">
        <f>V194-V195</f>
        <v/>
      </c>
      <c r="AJ194" s="18">
        <f>X194-X195</f>
        <v/>
      </c>
      <c r="AK194" s="18">
        <f>Z194-Z195</f>
        <v/>
      </c>
      <c r="AL194" s="18">
        <f>AB194-AB195</f>
        <v/>
      </c>
    </row>
    <row r="195">
      <c r="A195" s="16" t="n">
        <v>46022</v>
      </c>
      <c r="B195" s="17" t="n">
        <v>3.47</v>
      </c>
      <c r="C195" s="18">
        <f>(B195-B196)*100</f>
        <v/>
      </c>
      <c r="D195" s="17" t="n">
        <v>3.55</v>
      </c>
      <c r="E195" s="18">
        <f>(D195-D196)*100</f>
        <v/>
      </c>
      <c r="F195" s="17" t="n">
        <v>3.73</v>
      </c>
      <c r="G195" s="18">
        <f>(F195-F196)*100</f>
        <v/>
      </c>
      <c r="H195" s="17" t="n">
        <v>4.18</v>
      </c>
      <c r="I195" s="18">
        <f>(H195-H196)*100</f>
        <v/>
      </c>
      <c r="J195" s="17" t="n">
        <v>4.84</v>
      </c>
      <c r="K195" s="18">
        <f>(J195-J196)*100</f>
        <v/>
      </c>
      <c r="L195" s="18">
        <f>(F195-B195)*100</f>
        <v/>
      </c>
      <c r="M195" s="20">
        <f>(L195-$D$9)/$E$9</f>
        <v/>
      </c>
      <c r="N195" s="18">
        <f>(F195-D195)*100</f>
        <v/>
      </c>
      <c r="O195" s="20">
        <f>(N195-$D$10)/$E$10</f>
        <v/>
      </c>
      <c r="P195" s="18">
        <f>(H195-F195)*100</f>
        <v/>
      </c>
      <c r="Q195" s="20">
        <f>(P195-$D$11)/$E$11</f>
        <v/>
      </c>
      <c r="R195" s="18">
        <f>(J195-F195)*100</f>
        <v/>
      </c>
      <c r="S195" s="20">
        <f>(R195-$D$12)/$E$12</f>
        <v/>
      </c>
      <c r="T195" s="18">
        <f>(H195-B195)*100</f>
        <v/>
      </c>
      <c r="U195" s="20">
        <f>(T195-$D$13)/$E$13</f>
        <v/>
      </c>
      <c r="V195" s="18">
        <f>(H195-D195)*100</f>
        <v/>
      </c>
      <c r="W195" s="20">
        <f>(V195-$D$14)/$E$14</f>
        <v/>
      </c>
      <c r="X195" s="18">
        <f>(J195-H195)*100</f>
        <v/>
      </c>
      <c r="Y195" s="20">
        <f>(X195-$D$15)/$E$15</f>
        <v/>
      </c>
      <c r="Z195" s="18">
        <f>(J195-B195)*100</f>
        <v/>
      </c>
      <c r="AA195" s="20">
        <f>(Z195-$D$16)/$E$16</f>
        <v/>
      </c>
      <c r="AB195" s="18">
        <f>(2*F195-B195-H195)*100</f>
        <v/>
      </c>
      <c r="AC195" s="20">
        <f>(AB195-$D$17)/$E$17</f>
        <v/>
      </c>
      <c r="AD195" s="18">
        <f>L195-L196</f>
        <v/>
      </c>
      <c r="AE195" s="18">
        <f>N195-N196</f>
        <v/>
      </c>
      <c r="AF195" s="18">
        <f>P195-P196</f>
        <v/>
      </c>
      <c r="AG195" s="18">
        <f>R195-R196</f>
        <v/>
      </c>
      <c r="AH195" s="18">
        <f>T195-T196</f>
        <v/>
      </c>
      <c r="AI195" s="18">
        <f>V195-V196</f>
        <v/>
      </c>
      <c r="AJ195" s="18">
        <f>X195-X196</f>
        <v/>
      </c>
      <c r="AK195" s="18">
        <f>Z195-Z196</f>
        <v/>
      </c>
      <c r="AL195" s="18">
        <f>AB195-AB196</f>
        <v/>
      </c>
    </row>
    <row r="196">
      <c r="A196" s="16" t="n">
        <v>46021</v>
      </c>
      <c r="B196" s="17" t="n">
        <v>3.45</v>
      </c>
      <c r="C196" s="18">
        <f>(B196-B197)*100</f>
        <v/>
      </c>
      <c r="D196" s="17" t="n">
        <v>3.5</v>
      </c>
      <c r="E196" s="18">
        <f>(D196-D197)*100</f>
        <v/>
      </c>
      <c r="F196" s="17" t="n">
        <v>3.68</v>
      </c>
      <c r="G196" s="18">
        <f>(F196-F197)*100</f>
        <v/>
      </c>
      <c r="H196" s="17" t="n">
        <v>4.14</v>
      </c>
      <c r="I196" s="18">
        <f>(H196-H197)*100</f>
        <v/>
      </c>
      <c r="J196" s="17" t="n">
        <v>4.81</v>
      </c>
      <c r="K196" s="18">
        <f>(J196-J197)*100</f>
        <v/>
      </c>
      <c r="L196" s="18">
        <f>(F196-B196)*100</f>
        <v/>
      </c>
      <c r="M196" s="20">
        <f>(L196-$D$9)/$E$9</f>
        <v/>
      </c>
      <c r="N196" s="18">
        <f>(F196-D196)*100</f>
        <v/>
      </c>
      <c r="O196" s="20">
        <f>(N196-$D$10)/$E$10</f>
        <v/>
      </c>
      <c r="P196" s="18">
        <f>(H196-F196)*100</f>
        <v/>
      </c>
      <c r="Q196" s="20">
        <f>(P196-$D$11)/$E$11</f>
        <v/>
      </c>
      <c r="R196" s="18">
        <f>(J196-F196)*100</f>
        <v/>
      </c>
      <c r="S196" s="20">
        <f>(R196-$D$12)/$E$12</f>
        <v/>
      </c>
      <c r="T196" s="18">
        <f>(H196-B196)*100</f>
        <v/>
      </c>
      <c r="U196" s="20">
        <f>(T196-$D$13)/$E$13</f>
        <v/>
      </c>
      <c r="V196" s="18">
        <f>(H196-D196)*100</f>
        <v/>
      </c>
      <c r="W196" s="20">
        <f>(V196-$D$14)/$E$14</f>
        <v/>
      </c>
      <c r="X196" s="18">
        <f>(J196-H196)*100</f>
        <v/>
      </c>
      <c r="Y196" s="20">
        <f>(X196-$D$15)/$E$15</f>
        <v/>
      </c>
      <c r="Z196" s="18">
        <f>(J196-B196)*100</f>
        <v/>
      </c>
      <c r="AA196" s="20">
        <f>(Z196-$D$16)/$E$16</f>
        <v/>
      </c>
      <c r="AB196" s="18">
        <f>(2*F196-B196-H196)*100</f>
        <v/>
      </c>
      <c r="AC196" s="20">
        <f>(AB196-$D$17)/$E$17</f>
        <v/>
      </c>
      <c r="AD196" s="18">
        <f>L196-L197</f>
        <v/>
      </c>
      <c r="AE196" s="18">
        <f>N196-N197</f>
        <v/>
      </c>
      <c r="AF196" s="18">
        <f>P196-P197</f>
        <v/>
      </c>
      <c r="AG196" s="18">
        <f>R196-R197</f>
        <v/>
      </c>
      <c r="AH196" s="18">
        <f>T196-T197</f>
        <v/>
      </c>
      <c r="AI196" s="18">
        <f>V196-V197</f>
        <v/>
      </c>
      <c r="AJ196" s="18">
        <f>X196-X197</f>
        <v/>
      </c>
      <c r="AK196" s="18">
        <f>Z196-Z197</f>
        <v/>
      </c>
      <c r="AL196" s="18">
        <f>AB196-AB197</f>
        <v/>
      </c>
    </row>
    <row r="197">
      <c r="A197" s="16" t="n">
        <v>46020</v>
      </c>
      <c r="B197" s="17" t="n">
        <v>3.45</v>
      </c>
      <c r="C197" s="18">
        <f>(B197-B198)*100</f>
        <v/>
      </c>
      <c r="D197" s="17" t="n">
        <v>3.51</v>
      </c>
      <c r="E197" s="18">
        <f>(D197-D198)*100</f>
        <v/>
      </c>
      <c r="F197" s="17" t="n">
        <v>3.67</v>
      </c>
      <c r="G197" s="18">
        <f>(F197-F198)*100</f>
        <v/>
      </c>
      <c r="H197" s="17" t="n">
        <v>4.12</v>
      </c>
      <c r="I197" s="18">
        <f>(H197-H198)*100</f>
        <v/>
      </c>
      <c r="J197" s="17" t="n">
        <v>4.8</v>
      </c>
      <c r="K197" s="18">
        <f>(J197-J198)*100</f>
        <v/>
      </c>
      <c r="L197" s="18">
        <f>(F197-B197)*100</f>
        <v/>
      </c>
      <c r="M197" s="20">
        <f>(L197-$D$9)/$E$9</f>
        <v/>
      </c>
      <c r="N197" s="18">
        <f>(F197-D197)*100</f>
        <v/>
      </c>
      <c r="O197" s="20">
        <f>(N197-$D$10)/$E$10</f>
        <v/>
      </c>
      <c r="P197" s="18">
        <f>(H197-F197)*100</f>
        <v/>
      </c>
      <c r="Q197" s="20">
        <f>(P197-$D$11)/$E$11</f>
        <v/>
      </c>
      <c r="R197" s="18">
        <f>(J197-F197)*100</f>
        <v/>
      </c>
      <c r="S197" s="20">
        <f>(R197-$D$12)/$E$12</f>
        <v/>
      </c>
      <c r="T197" s="18">
        <f>(H197-B197)*100</f>
        <v/>
      </c>
      <c r="U197" s="20">
        <f>(T197-$D$13)/$E$13</f>
        <v/>
      </c>
      <c r="V197" s="18">
        <f>(H197-D197)*100</f>
        <v/>
      </c>
      <c r="W197" s="20">
        <f>(V197-$D$14)/$E$14</f>
        <v/>
      </c>
      <c r="X197" s="18">
        <f>(J197-H197)*100</f>
        <v/>
      </c>
      <c r="Y197" s="20">
        <f>(X197-$D$15)/$E$15</f>
        <v/>
      </c>
      <c r="Z197" s="18">
        <f>(J197-B197)*100</f>
        <v/>
      </c>
      <c r="AA197" s="20">
        <f>(Z197-$D$16)/$E$16</f>
        <v/>
      </c>
      <c r="AB197" s="18">
        <f>(2*F197-B197-H197)*100</f>
        <v/>
      </c>
      <c r="AC197" s="20">
        <f>(AB197-$D$17)/$E$17</f>
        <v/>
      </c>
      <c r="AD197" s="18">
        <f>L197-L198</f>
        <v/>
      </c>
      <c r="AE197" s="18">
        <f>N197-N198</f>
        <v/>
      </c>
      <c r="AF197" s="18">
        <f>P197-P198</f>
        <v/>
      </c>
      <c r="AG197" s="18">
        <f>R197-R198</f>
        <v/>
      </c>
      <c r="AH197" s="18">
        <f>T197-T198</f>
        <v/>
      </c>
      <c r="AI197" s="18">
        <f>V197-V198</f>
        <v/>
      </c>
      <c r="AJ197" s="18">
        <f>X197-X198</f>
        <v/>
      </c>
      <c r="AK197" s="18">
        <f>Z197-Z198</f>
        <v/>
      </c>
      <c r="AL197" s="18">
        <f>AB197-AB198</f>
        <v/>
      </c>
    </row>
    <row r="198">
      <c r="A198" s="16" t="n">
        <v>46017</v>
      </c>
      <c r="B198" s="17" t="n">
        <v>3.46</v>
      </c>
      <c r="C198" s="18">
        <f>(B198-B199)*100</f>
        <v/>
      </c>
      <c r="D198" s="17" t="n">
        <v>3.54</v>
      </c>
      <c r="E198" s="18">
        <f>(D198-D199)*100</f>
        <v/>
      </c>
      <c r="F198" s="17" t="n">
        <v>3.68</v>
      </c>
      <c r="G198" s="18">
        <f>(F198-F199)*100</f>
        <v/>
      </c>
      <c r="H198" s="17" t="n">
        <v>4.14</v>
      </c>
      <c r="I198" s="18">
        <f>(H198-H199)*100</f>
        <v/>
      </c>
      <c r="J198" s="17" t="n">
        <v>4.81</v>
      </c>
      <c r="K198" s="18">
        <f>(J198-J199)*100</f>
        <v/>
      </c>
      <c r="L198" s="18">
        <f>(F198-B198)*100</f>
        <v/>
      </c>
      <c r="M198" s="20">
        <f>(L198-$D$9)/$E$9</f>
        <v/>
      </c>
      <c r="N198" s="18">
        <f>(F198-D198)*100</f>
        <v/>
      </c>
      <c r="O198" s="20">
        <f>(N198-$D$10)/$E$10</f>
        <v/>
      </c>
      <c r="P198" s="18">
        <f>(H198-F198)*100</f>
        <v/>
      </c>
      <c r="Q198" s="20">
        <f>(P198-$D$11)/$E$11</f>
        <v/>
      </c>
      <c r="R198" s="18">
        <f>(J198-F198)*100</f>
        <v/>
      </c>
      <c r="S198" s="20">
        <f>(R198-$D$12)/$E$12</f>
        <v/>
      </c>
      <c r="T198" s="18">
        <f>(H198-B198)*100</f>
        <v/>
      </c>
      <c r="U198" s="20">
        <f>(T198-$D$13)/$E$13</f>
        <v/>
      </c>
      <c r="V198" s="18">
        <f>(H198-D198)*100</f>
        <v/>
      </c>
      <c r="W198" s="20">
        <f>(V198-$D$14)/$E$14</f>
        <v/>
      </c>
      <c r="X198" s="18">
        <f>(J198-H198)*100</f>
        <v/>
      </c>
      <c r="Y198" s="20">
        <f>(X198-$D$15)/$E$15</f>
        <v/>
      </c>
      <c r="Z198" s="18">
        <f>(J198-B198)*100</f>
        <v/>
      </c>
      <c r="AA198" s="20">
        <f>(Z198-$D$16)/$E$16</f>
        <v/>
      </c>
      <c r="AB198" s="18">
        <f>(2*F198-B198-H198)*100</f>
        <v/>
      </c>
      <c r="AC198" s="20">
        <f>(AB198-$D$17)/$E$17</f>
        <v/>
      </c>
      <c r="AD198" s="18">
        <f>L198-L199</f>
        <v/>
      </c>
      <c r="AE198" s="18">
        <f>N198-N199</f>
        <v/>
      </c>
      <c r="AF198" s="18">
        <f>P198-P199</f>
        <v/>
      </c>
      <c r="AG198" s="18">
        <f>R198-R199</f>
        <v/>
      </c>
      <c r="AH198" s="18">
        <f>T198-T199</f>
        <v/>
      </c>
      <c r="AI198" s="18">
        <f>V198-V199</f>
        <v/>
      </c>
      <c r="AJ198" s="18">
        <f>X198-X199</f>
        <v/>
      </c>
      <c r="AK198" s="18">
        <f>Z198-Z199</f>
        <v/>
      </c>
      <c r="AL198" s="18">
        <f>AB198-AB199</f>
        <v/>
      </c>
    </row>
    <row r="199">
      <c r="A199" s="16" t="n">
        <v>46015</v>
      </c>
      <c r="B199" s="17" t="n">
        <v>3.47</v>
      </c>
      <c r="C199" s="18">
        <f>(B199-B200)*100</f>
        <v/>
      </c>
      <c r="D199" s="17" t="n">
        <v>3.56</v>
      </c>
      <c r="E199" s="18">
        <f>(D199-D200)*100</f>
        <v/>
      </c>
      <c r="F199" s="17" t="n">
        <v>3.7</v>
      </c>
      <c r="G199" s="18">
        <f>(F199-F200)*100</f>
        <v/>
      </c>
      <c r="H199" s="17" t="n">
        <v>4.15</v>
      </c>
      <c r="I199" s="18">
        <f>(H199-H200)*100</f>
        <v/>
      </c>
      <c r="J199" s="17" t="n">
        <v>4.79</v>
      </c>
      <c r="K199" s="18">
        <f>(J199-J200)*100</f>
        <v/>
      </c>
      <c r="L199" s="18">
        <f>(F199-B199)*100</f>
        <v/>
      </c>
      <c r="M199" s="20">
        <f>(L199-$D$9)/$E$9</f>
        <v/>
      </c>
      <c r="N199" s="18">
        <f>(F199-D199)*100</f>
        <v/>
      </c>
      <c r="O199" s="20">
        <f>(N199-$D$10)/$E$10</f>
        <v/>
      </c>
      <c r="P199" s="18">
        <f>(H199-F199)*100</f>
        <v/>
      </c>
      <c r="Q199" s="20">
        <f>(P199-$D$11)/$E$11</f>
        <v/>
      </c>
      <c r="R199" s="18">
        <f>(J199-F199)*100</f>
        <v/>
      </c>
      <c r="S199" s="20">
        <f>(R199-$D$12)/$E$12</f>
        <v/>
      </c>
      <c r="T199" s="18">
        <f>(H199-B199)*100</f>
        <v/>
      </c>
      <c r="U199" s="20">
        <f>(T199-$D$13)/$E$13</f>
        <v/>
      </c>
      <c r="V199" s="18">
        <f>(H199-D199)*100</f>
        <v/>
      </c>
      <c r="W199" s="20">
        <f>(V199-$D$14)/$E$14</f>
        <v/>
      </c>
      <c r="X199" s="18">
        <f>(J199-H199)*100</f>
        <v/>
      </c>
      <c r="Y199" s="20">
        <f>(X199-$D$15)/$E$15</f>
        <v/>
      </c>
      <c r="Z199" s="18">
        <f>(J199-B199)*100</f>
        <v/>
      </c>
      <c r="AA199" s="20">
        <f>(Z199-$D$16)/$E$16</f>
        <v/>
      </c>
      <c r="AB199" s="18">
        <f>(2*F199-B199-H199)*100</f>
        <v/>
      </c>
      <c r="AC199" s="20">
        <f>(AB199-$D$17)/$E$17</f>
        <v/>
      </c>
      <c r="AD199" s="18">
        <f>L199-L200</f>
        <v/>
      </c>
      <c r="AE199" s="18">
        <f>N199-N200</f>
        <v/>
      </c>
      <c r="AF199" s="18">
        <f>P199-P200</f>
        <v/>
      </c>
      <c r="AG199" s="18">
        <f>R199-R200</f>
        <v/>
      </c>
      <c r="AH199" s="18">
        <f>T199-T200</f>
        <v/>
      </c>
      <c r="AI199" s="18">
        <f>V199-V200</f>
        <v/>
      </c>
      <c r="AJ199" s="18">
        <f>X199-X200</f>
        <v/>
      </c>
      <c r="AK199" s="18">
        <f>Z199-Z200</f>
        <v/>
      </c>
      <c r="AL199" s="18">
        <f>AB199-AB200</f>
        <v/>
      </c>
    </row>
    <row r="200">
      <c r="A200" s="16" t="n">
        <v>46014</v>
      </c>
      <c r="B200" s="17" t="n">
        <v>3.48</v>
      </c>
      <c r="C200" s="18">
        <f>(B200-B201)*100</f>
        <v/>
      </c>
      <c r="D200" s="17" t="n">
        <v>3.58</v>
      </c>
      <c r="E200" s="18">
        <f>(D200-D201)*100</f>
        <v/>
      </c>
      <c r="F200" s="17" t="n">
        <v>3.72</v>
      </c>
      <c r="G200" s="18">
        <f>(F200-F201)*100</f>
        <v/>
      </c>
      <c r="H200" s="17" t="n">
        <v>4.18</v>
      </c>
      <c r="I200" s="18">
        <f>(H200-H201)*100</f>
        <v/>
      </c>
      <c r="J200" s="17" t="n">
        <v>4.83</v>
      </c>
      <c r="K200" s="18">
        <f>(J200-J201)*100</f>
        <v/>
      </c>
      <c r="L200" s="18">
        <f>(F200-B200)*100</f>
        <v/>
      </c>
      <c r="M200" s="20">
        <f>(L200-$D$9)/$E$9</f>
        <v/>
      </c>
      <c r="N200" s="18">
        <f>(F200-D200)*100</f>
        <v/>
      </c>
      <c r="O200" s="20">
        <f>(N200-$D$10)/$E$10</f>
        <v/>
      </c>
      <c r="P200" s="18">
        <f>(H200-F200)*100</f>
        <v/>
      </c>
      <c r="Q200" s="20">
        <f>(P200-$D$11)/$E$11</f>
        <v/>
      </c>
      <c r="R200" s="18">
        <f>(J200-F200)*100</f>
        <v/>
      </c>
      <c r="S200" s="20">
        <f>(R200-$D$12)/$E$12</f>
        <v/>
      </c>
      <c r="T200" s="18">
        <f>(H200-B200)*100</f>
        <v/>
      </c>
      <c r="U200" s="20">
        <f>(T200-$D$13)/$E$13</f>
        <v/>
      </c>
      <c r="V200" s="18">
        <f>(H200-D200)*100</f>
        <v/>
      </c>
      <c r="W200" s="20">
        <f>(V200-$D$14)/$E$14</f>
        <v/>
      </c>
      <c r="X200" s="18">
        <f>(J200-H200)*100</f>
        <v/>
      </c>
      <c r="Y200" s="20">
        <f>(X200-$D$15)/$E$15</f>
        <v/>
      </c>
      <c r="Z200" s="18">
        <f>(J200-B200)*100</f>
        <v/>
      </c>
      <c r="AA200" s="20">
        <f>(Z200-$D$16)/$E$16</f>
        <v/>
      </c>
      <c r="AB200" s="18">
        <f>(2*F200-B200-H200)*100</f>
        <v/>
      </c>
      <c r="AC200" s="20">
        <f>(AB200-$D$17)/$E$17</f>
        <v/>
      </c>
      <c r="AD200" s="18">
        <f>L200-L201</f>
        <v/>
      </c>
      <c r="AE200" s="18">
        <f>N200-N201</f>
        <v/>
      </c>
      <c r="AF200" s="18">
        <f>P200-P201</f>
        <v/>
      </c>
      <c r="AG200" s="18">
        <f>R200-R201</f>
        <v/>
      </c>
      <c r="AH200" s="18">
        <f>T200-T201</f>
        <v/>
      </c>
      <c r="AI200" s="18">
        <f>V200-V201</f>
        <v/>
      </c>
      <c r="AJ200" s="18">
        <f>X200-X201</f>
        <v/>
      </c>
      <c r="AK200" s="18">
        <f>Z200-Z201</f>
        <v/>
      </c>
      <c r="AL200" s="18">
        <f>AB200-AB201</f>
        <v/>
      </c>
    </row>
    <row r="201">
      <c r="A201" s="16" t="n">
        <v>46013</v>
      </c>
      <c r="B201" s="17" t="n">
        <v>3.44</v>
      </c>
      <c r="C201" s="18">
        <f>(B201-B202)*100</f>
        <v/>
      </c>
      <c r="D201" s="17" t="n">
        <v>3.56</v>
      </c>
      <c r="E201" s="18">
        <f>(D201-D202)*100</f>
        <v/>
      </c>
      <c r="F201" s="17" t="n">
        <v>3.71</v>
      </c>
      <c r="G201" s="18">
        <f>(F201-F202)*100</f>
        <v/>
      </c>
      <c r="H201" s="17" t="n">
        <v>4.17</v>
      </c>
      <c r="I201" s="18">
        <f>(H201-H202)*100</f>
        <v/>
      </c>
      <c r="J201" s="17" t="n">
        <v>4.84</v>
      </c>
      <c r="K201" s="18">
        <f>(J201-J202)*100</f>
        <v/>
      </c>
      <c r="L201" s="18">
        <f>(F201-B201)*100</f>
        <v/>
      </c>
      <c r="M201" s="20">
        <f>(L201-$D$9)/$E$9</f>
        <v/>
      </c>
      <c r="N201" s="18">
        <f>(F201-D201)*100</f>
        <v/>
      </c>
      <c r="O201" s="20">
        <f>(N201-$D$10)/$E$10</f>
        <v/>
      </c>
      <c r="P201" s="18">
        <f>(H201-F201)*100</f>
        <v/>
      </c>
      <c r="Q201" s="20">
        <f>(P201-$D$11)/$E$11</f>
        <v/>
      </c>
      <c r="R201" s="18">
        <f>(J201-F201)*100</f>
        <v/>
      </c>
      <c r="S201" s="20">
        <f>(R201-$D$12)/$E$12</f>
        <v/>
      </c>
      <c r="T201" s="18">
        <f>(H201-B201)*100</f>
        <v/>
      </c>
      <c r="U201" s="20">
        <f>(T201-$D$13)/$E$13</f>
        <v/>
      </c>
      <c r="V201" s="18">
        <f>(H201-D201)*100</f>
        <v/>
      </c>
      <c r="W201" s="20">
        <f>(V201-$D$14)/$E$14</f>
        <v/>
      </c>
      <c r="X201" s="18">
        <f>(J201-H201)*100</f>
        <v/>
      </c>
      <c r="Y201" s="20">
        <f>(X201-$D$15)/$E$15</f>
        <v/>
      </c>
      <c r="Z201" s="18">
        <f>(J201-B201)*100</f>
        <v/>
      </c>
      <c r="AA201" s="20">
        <f>(Z201-$D$16)/$E$16</f>
        <v/>
      </c>
      <c r="AB201" s="18">
        <f>(2*F201-B201-H201)*100</f>
        <v/>
      </c>
      <c r="AC201" s="20">
        <f>(AB201-$D$17)/$E$17</f>
        <v/>
      </c>
      <c r="AD201" s="18">
        <f>L201-L202</f>
        <v/>
      </c>
      <c r="AE201" s="18">
        <f>N201-N202</f>
        <v/>
      </c>
      <c r="AF201" s="18">
        <f>P201-P202</f>
        <v/>
      </c>
      <c r="AG201" s="18">
        <f>R201-R202</f>
        <v/>
      </c>
      <c r="AH201" s="18">
        <f>T201-T202</f>
        <v/>
      </c>
      <c r="AI201" s="18">
        <f>V201-V202</f>
        <v/>
      </c>
      <c r="AJ201" s="18">
        <f>X201-X202</f>
        <v/>
      </c>
      <c r="AK201" s="18">
        <f>Z201-Z202</f>
        <v/>
      </c>
      <c r="AL201" s="18">
        <f>AB201-AB202</f>
        <v/>
      </c>
    </row>
    <row r="202">
      <c r="A202" s="16" t="n">
        <v>46010</v>
      </c>
      <c r="B202" s="17" t="n">
        <v>3.48</v>
      </c>
      <c r="C202" s="18">
        <f>(B202-B203)*100</f>
        <v/>
      </c>
      <c r="D202" s="17" t="n">
        <v>3.53</v>
      </c>
      <c r="E202" s="18">
        <f>(D202-D203)*100</f>
        <v/>
      </c>
      <c r="F202" s="17" t="n">
        <v>3.7</v>
      </c>
      <c r="G202" s="18">
        <f>(F202-F203)*100</f>
        <v/>
      </c>
      <c r="H202" s="17" t="n">
        <v>4.16</v>
      </c>
      <c r="I202" s="18">
        <f>(H202-H203)*100</f>
        <v/>
      </c>
      <c r="J202" s="17" t="n">
        <v>4.82</v>
      </c>
      <c r="K202" s="18">
        <f>(J202-J203)*100</f>
        <v/>
      </c>
      <c r="L202" s="18">
        <f>(F202-B202)*100</f>
        <v/>
      </c>
      <c r="M202" s="20">
        <f>(L202-$D$9)/$E$9</f>
        <v/>
      </c>
      <c r="N202" s="18">
        <f>(F202-D202)*100</f>
        <v/>
      </c>
      <c r="O202" s="20">
        <f>(N202-$D$10)/$E$10</f>
        <v/>
      </c>
      <c r="P202" s="18">
        <f>(H202-F202)*100</f>
        <v/>
      </c>
      <c r="Q202" s="20">
        <f>(P202-$D$11)/$E$11</f>
        <v/>
      </c>
      <c r="R202" s="18">
        <f>(J202-F202)*100</f>
        <v/>
      </c>
      <c r="S202" s="20">
        <f>(R202-$D$12)/$E$12</f>
        <v/>
      </c>
      <c r="T202" s="18">
        <f>(H202-B202)*100</f>
        <v/>
      </c>
      <c r="U202" s="20">
        <f>(T202-$D$13)/$E$13</f>
        <v/>
      </c>
      <c r="V202" s="18">
        <f>(H202-D202)*100</f>
        <v/>
      </c>
      <c r="W202" s="20">
        <f>(V202-$D$14)/$E$14</f>
        <v/>
      </c>
      <c r="X202" s="18">
        <f>(J202-H202)*100</f>
        <v/>
      </c>
      <c r="Y202" s="20">
        <f>(X202-$D$15)/$E$15</f>
        <v/>
      </c>
      <c r="Z202" s="18">
        <f>(J202-B202)*100</f>
        <v/>
      </c>
      <c r="AA202" s="20">
        <f>(Z202-$D$16)/$E$16</f>
        <v/>
      </c>
      <c r="AB202" s="18">
        <f>(2*F202-B202-H202)*100</f>
        <v/>
      </c>
      <c r="AC202" s="20">
        <f>(AB202-$D$17)/$E$17</f>
        <v/>
      </c>
      <c r="AD202" s="18">
        <f>L202-L203</f>
        <v/>
      </c>
      <c r="AE202" s="18">
        <f>N202-N203</f>
        <v/>
      </c>
      <c r="AF202" s="18">
        <f>P202-P203</f>
        <v/>
      </c>
      <c r="AG202" s="18">
        <f>R202-R203</f>
        <v/>
      </c>
      <c r="AH202" s="18">
        <f>T202-T203</f>
        <v/>
      </c>
      <c r="AI202" s="18">
        <f>V202-V203</f>
        <v/>
      </c>
      <c r="AJ202" s="18">
        <f>X202-X203</f>
        <v/>
      </c>
      <c r="AK202" s="18">
        <f>Z202-Z203</f>
        <v/>
      </c>
      <c r="AL202" s="18">
        <f>AB202-AB203</f>
        <v/>
      </c>
    </row>
    <row r="203">
      <c r="A203" s="16" t="n">
        <v>46009</v>
      </c>
      <c r="B203" s="17" t="n">
        <v>3.46</v>
      </c>
      <c r="C203" s="18">
        <f>(B203-B204)*100</f>
        <v/>
      </c>
      <c r="D203" s="17" t="n">
        <v>3.5</v>
      </c>
      <c r="E203" s="18">
        <f>(D203-D204)*100</f>
        <v/>
      </c>
      <c r="F203" s="17" t="n">
        <v>3.66</v>
      </c>
      <c r="G203" s="18">
        <f>(F203-F204)*100</f>
        <v/>
      </c>
      <c r="H203" s="17" t="n">
        <v>4.12</v>
      </c>
      <c r="I203" s="18">
        <f>(H203-H204)*100</f>
        <v/>
      </c>
      <c r="J203" s="17" t="n">
        <v>4.8</v>
      </c>
      <c r="K203" s="18">
        <f>(J203-J204)*100</f>
        <v/>
      </c>
      <c r="L203" s="18">
        <f>(F203-B203)*100</f>
        <v/>
      </c>
      <c r="M203" s="20">
        <f>(L203-$D$9)/$E$9</f>
        <v/>
      </c>
      <c r="N203" s="18">
        <f>(F203-D203)*100</f>
        <v/>
      </c>
      <c r="O203" s="20">
        <f>(N203-$D$10)/$E$10</f>
        <v/>
      </c>
      <c r="P203" s="18">
        <f>(H203-F203)*100</f>
        <v/>
      </c>
      <c r="Q203" s="20">
        <f>(P203-$D$11)/$E$11</f>
        <v/>
      </c>
      <c r="R203" s="18">
        <f>(J203-F203)*100</f>
        <v/>
      </c>
      <c r="S203" s="20">
        <f>(R203-$D$12)/$E$12</f>
        <v/>
      </c>
      <c r="T203" s="18">
        <f>(H203-B203)*100</f>
        <v/>
      </c>
      <c r="U203" s="20">
        <f>(T203-$D$13)/$E$13</f>
        <v/>
      </c>
      <c r="V203" s="18">
        <f>(H203-D203)*100</f>
        <v/>
      </c>
      <c r="W203" s="20">
        <f>(V203-$D$14)/$E$14</f>
        <v/>
      </c>
      <c r="X203" s="18">
        <f>(J203-H203)*100</f>
        <v/>
      </c>
      <c r="Y203" s="20">
        <f>(X203-$D$15)/$E$15</f>
        <v/>
      </c>
      <c r="Z203" s="18">
        <f>(J203-B203)*100</f>
        <v/>
      </c>
      <c r="AA203" s="20">
        <f>(Z203-$D$16)/$E$16</f>
        <v/>
      </c>
      <c r="AB203" s="18">
        <f>(2*F203-B203-H203)*100</f>
        <v/>
      </c>
      <c r="AC203" s="20">
        <f>(AB203-$D$17)/$E$17</f>
        <v/>
      </c>
      <c r="AD203" s="18">
        <f>L203-L204</f>
        <v/>
      </c>
      <c r="AE203" s="18">
        <f>N203-N204</f>
        <v/>
      </c>
      <c r="AF203" s="18">
        <f>P203-P204</f>
        <v/>
      </c>
      <c r="AG203" s="18">
        <f>R203-R204</f>
        <v/>
      </c>
      <c r="AH203" s="18">
        <f>T203-T204</f>
        <v/>
      </c>
      <c r="AI203" s="18">
        <f>V203-V204</f>
        <v/>
      </c>
      <c r="AJ203" s="18">
        <f>X203-X204</f>
        <v/>
      </c>
      <c r="AK203" s="18">
        <f>Z203-Z204</f>
        <v/>
      </c>
      <c r="AL203" s="18">
        <f>AB203-AB204</f>
        <v/>
      </c>
    </row>
    <row r="204">
      <c r="A204" s="16" t="n">
        <v>46008</v>
      </c>
      <c r="B204" s="17" t="n">
        <v>3.49</v>
      </c>
      <c r="C204" s="18">
        <f>(B204-B205)*100</f>
        <v/>
      </c>
      <c r="D204" s="17" t="n">
        <v>3.53</v>
      </c>
      <c r="E204" s="18">
        <f>(D204-D205)*100</f>
        <v/>
      </c>
      <c r="F204" s="17" t="n">
        <v>3.7</v>
      </c>
      <c r="G204" s="18">
        <f>(F204-F205)*100</f>
        <v/>
      </c>
      <c r="H204" s="17" t="n">
        <v>4.16</v>
      </c>
      <c r="I204" s="18">
        <f>(H204-H205)*100</f>
        <v/>
      </c>
      <c r="J204" s="17" t="n">
        <v>4.83</v>
      </c>
      <c r="K204" s="18">
        <f>(J204-J205)*100</f>
        <v/>
      </c>
      <c r="L204" s="18">
        <f>(F204-B204)*100</f>
        <v/>
      </c>
      <c r="M204" s="20">
        <f>(L204-$D$9)/$E$9</f>
        <v/>
      </c>
      <c r="N204" s="18">
        <f>(F204-D204)*100</f>
        <v/>
      </c>
      <c r="O204" s="20">
        <f>(N204-$D$10)/$E$10</f>
        <v/>
      </c>
      <c r="P204" s="18">
        <f>(H204-F204)*100</f>
        <v/>
      </c>
      <c r="Q204" s="20">
        <f>(P204-$D$11)/$E$11</f>
        <v/>
      </c>
      <c r="R204" s="18">
        <f>(J204-F204)*100</f>
        <v/>
      </c>
      <c r="S204" s="20">
        <f>(R204-$D$12)/$E$12</f>
        <v/>
      </c>
      <c r="T204" s="18">
        <f>(H204-B204)*100</f>
        <v/>
      </c>
      <c r="U204" s="20">
        <f>(T204-$D$13)/$E$13</f>
        <v/>
      </c>
      <c r="V204" s="18">
        <f>(H204-D204)*100</f>
        <v/>
      </c>
      <c r="W204" s="20">
        <f>(V204-$D$14)/$E$14</f>
        <v/>
      </c>
      <c r="X204" s="18">
        <f>(J204-H204)*100</f>
        <v/>
      </c>
      <c r="Y204" s="20">
        <f>(X204-$D$15)/$E$15</f>
        <v/>
      </c>
      <c r="Z204" s="18">
        <f>(J204-B204)*100</f>
        <v/>
      </c>
      <c r="AA204" s="20">
        <f>(Z204-$D$16)/$E$16</f>
        <v/>
      </c>
      <c r="AB204" s="18">
        <f>(2*F204-B204-H204)*100</f>
        <v/>
      </c>
      <c r="AC204" s="20">
        <f>(AB204-$D$17)/$E$17</f>
        <v/>
      </c>
      <c r="AD204" s="18">
        <f>L204-L205</f>
        <v/>
      </c>
      <c r="AE204" s="18">
        <f>N204-N205</f>
        <v/>
      </c>
      <c r="AF204" s="18">
        <f>P204-P205</f>
        <v/>
      </c>
      <c r="AG204" s="18">
        <f>R204-R205</f>
        <v/>
      </c>
      <c r="AH204" s="18">
        <f>T204-T205</f>
        <v/>
      </c>
      <c r="AI204" s="18">
        <f>V204-V205</f>
        <v/>
      </c>
      <c r="AJ204" s="18">
        <f>X204-X205</f>
        <v/>
      </c>
      <c r="AK204" s="18">
        <f>Z204-Z205</f>
        <v/>
      </c>
      <c r="AL204" s="18">
        <f>AB204-AB205</f>
        <v/>
      </c>
    </row>
    <row r="205">
      <c r="A205" s="16" t="n">
        <v>46007</v>
      </c>
      <c r="B205" s="17" t="n">
        <v>3.48</v>
      </c>
      <c r="C205" s="18">
        <f>(B205-B206)*100</f>
        <v/>
      </c>
      <c r="D205" s="17" t="n">
        <v>3.52</v>
      </c>
      <c r="E205" s="18">
        <f>(D205-D206)*100</f>
        <v/>
      </c>
      <c r="F205" s="17" t="n">
        <v>3.69</v>
      </c>
      <c r="G205" s="18">
        <f>(F205-F206)*100</f>
        <v/>
      </c>
      <c r="H205" s="17" t="n">
        <v>4.15</v>
      </c>
      <c r="I205" s="18">
        <f>(H205-H206)*100</f>
        <v/>
      </c>
      <c r="J205" s="17" t="n">
        <v>4.82</v>
      </c>
      <c r="K205" s="18">
        <f>(J205-J206)*100</f>
        <v/>
      </c>
      <c r="L205" s="18">
        <f>(F205-B205)*100</f>
        <v/>
      </c>
      <c r="M205" s="20">
        <f>(L205-$D$9)/$E$9</f>
        <v/>
      </c>
      <c r="N205" s="18">
        <f>(F205-D205)*100</f>
        <v/>
      </c>
      <c r="O205" s="20">
        <f>(N205-$D$10)/$E$10</f>
        <v/>
      </c>
      <c r="P205" s="18">
        <f>(H205-F205)*100</f>
        <v/>
      </c>
      <c r="Q205" s="20">
        <f>(P205-$D$11)/$E$11</f>
        <v/>
      </c>
      <c r="R205" s="18">
        <f>(J205-F205)*100</f>
        <v/>
      </c>
      <c r="S205" s="20">
        <f>(R205-$D$12)/$E$12</f>
        <v/>
      </c>
      <c r="T205" s="18">
        <f>(H205-B205)*100</f>
        <v/>
      </c>
      <c r="U205" s="20">
        <f>(T205-$D$13)/$E$13</f>
        <v/>
      </c>
      <c r="V205" s="18">
        <f>(H205-D205)*100</f>
        <v/>
      </c>
      <c r="W205" s="20">
        <f>(V205-$D$14)/$E$14</f>
        <v/>
      </c>
      <c r="X205" s="18">
        <f>(J205-H205)*100</f>
        <v/>
      </c>
      <c r="Y205" s="20">
        <f>(X205-$D$15)/$E$15</f>
        <v/>
      </c>
      <c r="Z205" s="18">
        <f>(J205-B205)*100</f>
        <v/>
      </c>
      <c r="AA205" s="20">
        <f>(Z205-$D$16)/$E$16</f>
        <v/>
      </c>
      <c r="AB205" s="18">
        <f>(2*F205-B205-H205)*100</f>
        <v/>
      </c>
      <c r="AC205" s="20">
        <f>(AB205-$D$17)/$E$17</f>
        <v/>
      </c>
      <c r="AD205" s="18">
        <f>L205-L206</f>
        <v/>
      </c>
      <c r="AE205" s="18">
        <f>N205-N206</f>
        <v/>
      </c>
      <c r="AF205" s="18">
        <f>P205-P206</f>
        <v/>
      </c>
      <c r="AG205" s="18">
        <f>R205-R206</f>
        <v/>
      </c>
      <c r="AH205" s="18">
        <f>T205-T206</f>
        <v/>
      </c>
      <c r="AI205" s="18">
        <f>V205-V206</f>
        <v/>
      </c>
      <c r="AJ205" s="18">
        <f>X205-X206</f>
        <v/>
      </c>
      <c r="AK205" s="18">
        <f>Z205-Z206</f>
        <v/>
      </c>
      <c r="AL205" s="18">
        <f>AB205-AB206</f>
        <v/>
      </c>
    </row>
    <row r="206">
      <c r="A206" s="16" t="n">
        <v>46006</v>
      </c>
      <c r="B206" s="17" t="n">
        <v>3.51</v>
      </c>
      <c r="C206" s="18">
        <f>(B206-B207)*100</f>
        <v/>
      </c>
      <c r="D206" s="17" t="n">
        <v>3.56</v>
      </c>
      <c r="E206" s="18">
        <f>(D206-D207)*100</f>
        <v/>
      </c>
      <c r="F206" s="17" t="n">
        <v>3.73</v>
      </c>
      <c r="G206" s="18">
        <f>(F206-F207)*100</f>
        <v/>
      </c>
      <c r="H206" s="17" t="n">
        <v>4.18</v>
      </c>
      <c r="I206" s="18">
        <f>(H206-H207)*100</f>
        <v/>
      </c>
      <c r="J206" s="17" t="n">
        <v>4.84</v>
      </c>
      <c r="K206" s="18">
        <f>(J206-J207)*100</f>
        <v/>
      </c>
      <c r="L206" s="18">
        <f>(F206-B206)*100</f>
        <v/>
      </c>
      <c r="M206" s="20">
        <f>(L206-$D$9)/$E$9</f>
        <v/>
      </c>
      <c r="N206" s="18">
        <f>(F206-D206)*100</f>
        <v/>
      </c>
      <c r="O206" s="20">
        <f>(N206-$D$10)/$E$10</f>
        <v/>
      </c>
      <c r="P206" s="18">
        <f>(H206-F206)*100</f>
        <v/>
      </c>
      <c r="Q206" s="20">
        <f>(P206-$D$11)/$E$11</f>
        <v/>
      </c>
      <c r="R206" s="18">
        <f>(J206-F206)*100</f>
        <v/>
      </c>
      <c r="S206" s="20">
        <f>(R206-$D$12)/$E$12</f>
        <v/>
      </c>
      <c r="T206" s="18">
        <f>(H206-B206)*100</f>
        <v/>
      </c>
      <c r="U206" s="20">
        <f>(T206-$D$13)/$E$13</f>
        <v/>
      </c>
      <c r="V206" s="18">
        <f>(H206-D206)*100</f>
        <v/>
      </c>
      <c r="W206" s="20">
        <f>(V206-$D$14)/$E$14</f>
        <v/>
      </c>
      <c r="X206" s="18">
        <f>(J206-H206)*100</f>
        <v/>
      </c>
      <c r="Y206" s="20">
        <f>(X206-$D$15)/$E$15</f>
        <v/>
      </c>
      <c r="Z206" s="18">
        <f>(J206-B206)*100</f>
        <v/>
      </c>
      <c r="AA206" s="20">
        <f>(Z206-$D$16)/$E$16</f>
        <v/>
      </c>
      <c r="AB206" s="18">
        <f>(2*F206-B206-H206)*100</f>
        <v/>
      </c>
      <c r="AC206" s="20">
        <f>(AB206-$D$17)/$E$17</f>
        <v/>
      </c>
      <c r="AD206" s="18">
        <f>L206-L207</f>
        <v/>
      </c>
      <c r="AE206" s="18">
        <f>N206-N207</f>
        <v/>
      </c>
      <c r="AF206" s="18">
        <f>P206-P207</f>
        <v/>
      </c>
      <c r="AG206" s="18">
        <f>R206-R207</f>
        <v/>
      </c>
      <c r="AH206" s="18">
        <f>T206-T207</f>
        <v/>
      </c>
      <c r="AI206" s="18">
        <f>V206-V207</f>
        <v/>
      </c>
      <c r="AJ206" s="18">
        <f>X206-X207</f>
        <v/>
      </c>
      <c r="AK206" s="18">
        <f>Z206-Z207</f>
        <v/>
      </c>
      <c r="AL206" s="18">
        <f>AB206-AB207</f>
        <v/>
      </c>
    </row>
    <row r="207">
      <c r="A207" s="16" t="n">
        <v>46003</v>
      </c>
      <c r="B207" s="17" t="n">
        <v>3.52</v>
      </c>
      <c r="C207" s="18">
        <f>(B207-B208)*100</f>
        <v/>
      </c>
      <c r="D207" s="17" t="n">
        <v>3.58</v>
      </c>
      <c r="E207" s="18">
        <f>(D207-D208)*100</f>
        <v/>
      </c>
      <c r="F207" s="17" t="n">
        <v>3.75</v>
      </c>
      <c r="G207" s="18">
        <f>(F207-F208)*100</f>
        <v/>
      </c>
      <c r="H207" s="17" t="n">
        <v>4.19</v>
      </c>
      <c r="I207" s="18">
        <f>(H207-H208)*100</f>
        <v/>
      </c>
      <c r="J207" s="17" t="n">
        <v>4.85</v>
      </c>
      <c r="K207" s="18">
        <f>(J207-J208)*100</f>
        <v/>
      </c>
      <c r="L207" s="18">
        <f>(F207-B207)*100</f>
        <v/>
      </c>
      <c r="M207" s="20">
        <f>(L207-$D$9)/$E$9</f>
        <v/>
      </c>
      <c r="N207" s="18">
        <f>(F207-D207)*100</f>
        <v/>
      </c>
      <c r="O207" s="20">
        <f>(N207-$D$10)/$E$10</f>
        <v/>
      </c>
      <c r="P207" s="18">
        <f>(H207-F207)*100</f>
        <v/>
      </c>
      <c r="Q207" s="20">
        <f>(P207-$D$11)/$E$11</f>
        <v/>
      </c>
      <c r="R207" s="18">
        <f>(J207-F207)*100</f>
        <v/>
      </c>
      <c r="S207" s="20">
        <f>(R207-$D$12)/$E$12</f>
        <v/>
      </c>
      <c r="T207" s="18">
        <f>(H207-B207)*100</f>
        <v/>
      </c>
      <c r="U207" s="20">
        <f>(T207-$D$13)/$E$13</f>
        <v/>
      </c>
      <c r="V207" s="18">
        <f>(H207-D207)*100</f>
        <v/>
      </c>
      <c r="W207" s="20">
        <f>(V207-$D$14)/$E$14</f>
        <v/>
      </c>
      <c r="X207" s="18">
        <f>(J207-H207)*100</f>
        <v/>
      </c>
      <c r="Y207" s="20">
        <f>(X207-$D$15)/$E$15</f>
        <v/>
      </c>
      <c r="Z207" s="18">
        <f>(J207-B207)*100</f>
        <v/>
      </c>
      <c r="AA207" s="20">
        <f>(Z207-$D$16)/$E$16</f>
        <v/>
      </c>
      <c r="AB207" s="18">
        <f>(2*F207-B207-H207)*100</f>
        <v/>
      </c>
      <c r="AC207" s="20">
        <f>(AB207-$D$17)/$E$17</f>
        <v/>
      </c>
      <c r="AD207" s="18">
        <f>L207-L208</f>
        <v/>
      </c>
      <c r="AE207" s="18">
        <f>N207-N208</f>
        <v/>
      </c>
      <c r="AF207" s="18">
        <f>P207-P208</f>
        <v/>
      </c>
      <c r="AG207" s="18">
        <f>R207-R208</f>
        <v/>
      </c>
      <c r="AH207" s="18">
        <f>T207-T208</f>
        <v/>
      </c>
      <c r="AI207" s="18">
        <f>V207-V208</f>
        <v/>
      </c>
      <c r="AJ207" s="18">
        <f>X207-X208</f>
        <v/>
      </c>
      <c r="AK207" s="18">
        <f>Z207-Z208</f>
        <v/>
      </c>
      <c r="AL207" s="18">
        <f>AB207-AB208</f>
        <v/>
      </c>
    </row>
    <row r="208">
      <c r="A208" s="16" t="n">
        <v>46002</v>
      </c>
      <c r="B208" s="17" t="n">
        <v>3.52</v>
      </c>
      <c r="C208" s="18">
        <f>(B208-B209)*100</f>
        <v/>
      </c>
      <c r="D208" s="17" t="n">
        <v>3.55</v>
      </c>
      <c r="E208" s="18">
        <f>(D208-D209)*100</f>
        <v/>
      </c>
      <c r="F208" s="17" t="n">
        <v>3.72</v>
      </c>
      <c r="G208" s="18">
        <f>(F208-F209)*100</f>
        <v/>
      </c>
      <c r="H208" s="17" t="n">
        <v>4.14</v>
      </c>
      <c r="I208" s="18">
        <f>(H208-H209)*100</f>
        <v/>
      </c>
      <c r="J208" s="17" t="n">
        <v>4.79</v>
      </c>
      <c r="K208" s="18">
        <f>(J208-J209)*100</f>
        <v/>
      </c>
      <c r="L208" s="18">
        <f>(F208-B208)*100</f>
        <v/>
      </c>
      <c r="M208" s="20">
        <f>(L208-$D$9)/$E$9</f>
        <v/>
      </c>
      <c r="N208" s="18">
        <f>(F208-D208)*100</f>
        <v/>
      </c>
      <c r="O208" s="20">
        <f>(N208-$D$10)/$E$10</f>
        <v/>
      </c>
      <c r="P208" s="18">
        <f>(H208-F208)*100</f>
        <v/>
      </c>
      <c r="Q208" s="20">
        <f>(P208-$D$11)/$E$11</f>
        <v/>
      </c>
      <c r="R208" s="18">
        <f>(J208-F208)*100</f>
        <v/>
      </c>
      <c r="S208" s="20">
        <f>(R208-$D$12)/$E$12</f>
        <v/>
      </c>
      <c r="T208" s="18">
        <f>(H208-B208)*100</f>
        <v/>
      </c>
      <c r="U208" s="20">
        <f>(T208-$D$13)/$E$13</f>
        <v/>
      </c>
      <c r="V208" s="18">
        <f>(H208-D208)*100</f>
        <v/>
      </c>
      <c r="W208" s="20">
        <f>(V208-$D$14)/$E$14</f>
        <v/>
      </c>
      <c r="X208" s="18">
        <f>(J208-H208)*100</f>
        <v/>
      </c>
      <c r="Y208" s="20">
        <f>(X208-$D$15)/$E$15</f>
        <v/>
      </c>
      <c r="Z208" s="18">
        <f>(J208-B208)*100</f>
        <v/>
      </c>
      <c r="AA208" s="20">
        <f>(Z208-$D$16)/$E$16</f>
        <v/>
      </c>
      <c r="AB208" s="18">
        <f>(2*F208-B208-H208)*100</f>
        <v/>
      </c>
      <c r="AC208" s="20">
        <f>(AB208-$D$17)/$E$17</f>
        <v/>
      </c>
      <c r="AD208" s="18">
        <f>L208-L209</f>
        <v/>
      </c>
      <c r="AE208" s="18">
        <f>N208-N209</f>
        <v/>
      </c>
      <c r="AF208" s="18">
        <f>P208-P209</f>
        <v/>
      </c>
      <c r="AG208" s="18">
        <f>R208-R209</f>
        <v/>
      </c>
      <c r="AH208" s="18">
        <f>T208-T209</f>
        <v/>
      </c>
      <c r="AI208" s="18">
        <f>V208-V209</f>
        <v/>
      </c>
      <c r="AJ208" s="18">
        <f>X208-X209</f>
        <v/>
      </c>
      <c r="AK208" s="18">
        <f>Z208-Z209</f>
        <v/>
      </c>
      <c r="AL208" s="18">
        <f>AB208-AB209</f>
        <v/>
      </c>
    </row>
    <row r="209">
      <c r="A209" s="16" t="n">
        <v>46001</v>
      </c>
      <c r="B209" s="17" t="n">
        <v>3.54</v>
      </c>
      <c r="C209" s="18">
        <f>(B209-B210)*100</f>
        <v/>
      </c>
      <c r="D209" s="17" t="n">
        <v>3.56</v>
      </c>
      <c r="E209" s="18">
        <f>(D209-D210)*100</f>
        <v/>
      </c>
      <c r="F209" s="17" t="n">
        <v>3.72</v>
      </c>
      <c r="G209" s="18">
        <f>(F209-F210)*100</f>
        <v/>
      </c>
      <c r="H209" s="17" t="n">
        <v>4.13</v>
      </c>
      <c r="I209" s="18">
        <f>(H209-H210)*100</f>
        <v/>
      </c>
      <c r="J209" s="17" t="n">
        <v>4.78</v>
      </c>
      <c r="K209" s="18">
        <f>(J209-J210)*100</f>
        <v/>
      </c>
      <c r="L209" s="18">
        <f>(F209-B209)*100</f>
        <v/>
      </c>
      <c r="M209" s="20">
        <f>(L209-$D$9)/$E$9</f>
        <v/>
      </c>
      <c r="N209" s="18">
        <f>(F209-D209)*100</f>
        <v/>
      </c>
      <c r="O209" s="20">
        <f>(N209-$D$10)/$E$10</f>
        <v/>
      </c>
      <c r="P209" s="18">
        <f>(H209-F209)*100</f>
        <v/>
      </c>
      <c r="Q209" s="20">
        <f>(P209-$D$11)/$E$11</f>
        <v/>
      </c>
      <c r="R209" s="18">
        <f>(J209-F209)*100</f>
        <v/>
      </c>
      <c r="S209" s="20">
        <f>(R209-$D$12)/$E$12</f>
        <v/>
      </c>
      <c r="T209" s="18">
        <f>(H209-B209)*100</f>
        <v/>
      </c>
      <c r="U209" s="20">
        <f>(T209-$D$13)/$E$13</f>
        <v/>
      </c>
      <c r="V209" s="18">
        <f>(H209-D209)*100</f>
        <v/>
      </c>
      <c r="W209" s="20">
        <f>(V209-$D$14)/$E$14</f>
        <v/>
      </c>
      <c r="X209" s="18">
        <f>(J209-H209)*100</f>
        <v/>
      </c>
      <c r="Y209" s="20">
        <f>(X209-$D$15)/$E$15</f>
        <v/>
      </c>
      <c r="Z209" s="18">
        <f>(J209-B209)*100</f>
        <v/>
      </c>
      <c r="AA209" s="20">
        <f>(Z209-$D$16)/$E$16</f>
        <v/>
      </c>
      <c r="AB209" s="18">
        <f>(2*F209-B209-H209)*100</f>
        <v/>
      </c>
      <c r="AC209" s="20">
        <f>(AB209-$D$17)/$E$17</f>
        <v/>
      </c>
      <c r="AD209" s="18">
        <f>L209-L210</f>
        <v/>
      </c>
      <c r="AE209" s="18">
        <f>N209-N210</f>
        <v/>
      </c>
      <c r="AF209" s="18">
        <f>P209-P210</f>
        <v/>
      </c>
      <c r="AG209" s="18">
        <f>R209-R210</f>
        <v/>
      </c>
      <c r="AH209" s="18">
        <f>T209-T210</f>
        <v/>
      </c>
      <c r="AI209" s="18">
        <f>V209-V210</f>
        <v/>
      </c>
      <c r="AJ209" s="18">
        <f>X209-X210</f>
        <v/>
      </c>
      <c r="AK209" s="18">
        <f>Z209-Z210</f>
        <v/>
      </c>
      <c r="AL209" s="18">
        <f>AB209-AB210</f>
        <v/>
      </c>
    </row>
    <row r="210">
      <c r="A210" s="16" t="n">
        <v>46000</v>
      </c>
      <c r="B210" s="17" t="n">
        <v>3.61</v>
      </c>
      <c r="C210" s="18">
        <f>(B210-B211)*100</f>
        <v/>
      </c>
      <c r="D210" s="17" t="n">
        <v>3.62</v>
      </c>
      <c r="E210" s="18">
        <f>(D210-D211)*100</f>
        <v/>
      </c>
      <c r="F210" s="17" t="n">
        <v>3.78</v>
      </c>
      <c r="G210" s="18">
        <f>(F210-F211)*100</f>
        <v/>
      </c>
      <c r="H210" s="17" t="n">
        <v>4.18</v>
      </c>
      <c r="I210" s="18">
        <f>(H210-H211)*100</f>
        <v/>
      </c>
      <c r="J210" s="17" t="n">
        <v>4.8</v>
      </c>
      <c r="K210" s="18">
        <f>(J210-J211)*100</f>
        <v/>
      </c>
      <c r="L210" s="18">
        <f>(F210-B210)*100</f>
        <v/>
      </c>
      <c r="M210" s="20">
        <f>(L210-$D$9)/$E$9</f>
        <v/>
      </c>
      <c r="N210" s="18">
        <f>(F210-D210)*100</f>
        <v/>
      </c>
      <c r="O210" s="20">
        <f>(N210-$D$10)/$E$10</f>
        <v/>
      </c>
      <c r="P210" s="18">
        <f>(H210-F210)*100</f>
        <v/>
      </c>
      <c r="Q210" s="20">
        <f>(P210-$D$11)/$E$11</f>
        <v/>
      </c>
      <c r="R210" s="18">
        <f>(J210-F210)*100</f>
        <v/>
      </c>
      <c r="S210" s="20">
        <f>(R210-$D$12)/$E$12</f>
        <v/>
      </c>
      <c r="T210" s="18">
        <f>(H210-B210)*100</f>
        <v/>
      </c>
      <c r="U210" s="20">
        <f>(T210-$D$13)/$E$13</f>
        <v/>
      </c>
      <c r="V210" s="18">
        <f>(H210-D210)*100</f>
        <v/>
      </c>
      <c r="W210" s="20">
        <f>(V210-$D$14)/$E$14</f>
        <v/>
      </c>
      <c r="X210" s="18">
        <f>(J210-H210)*100</f>
        <v/>
      </c>
      <c r="Y210" s="20">
        <f>(X210-$D$15)/$E$15</f>
        <v/>
      </c>
      <c r="Z210" s="18">
        <f>(J210-B210)*100</f>
        <v/>
      </c>
      <c r="AA210" s="20">
        <f>(Z210-$D$16)/$E$16</f>
        <v/>
      </c>
      <c r="AB210" s="18">
        <f>(2*F210-B210-H210)*100</f>
        <v/>
      </c>
      <c r="AC210" s="20">
        <f>(AB210-$D$17)/$E$17</f>
        <v/>
      </c>
      <c r="AD210" s="18">
        <f>L210-L211</f>
        <v/>
      </c>
      <c r="AE210" s="18">
        <f>N210-N211</f>
        <v/>
      </c>
      <c r="AF210" s="18">
        <f>P210-P211</f>
        <v/>
      </c>
      <c r="AG210" s="18">
        <f>R210-R211</f>
        <v/>
      </c>
      <c r="AH210" s="18">
        <f>T210-T211</f>
        <v/>
      </c>
      <c r="AI210" s="18">
        <f>V210-V211</f>
        <v/>
      </c>
      <c r="AJ210" s="18">
        <f>X210-X211</f>
        <v/>
      </c>
      <c r="AK210" s="18">
        <f>Z210-Z211</f>
        <v/>
      </c>
      <c r="AL210" s="18">
        <f>AB210-AB211</f>
        <v/>
      </c>
    </row>
    <row r="211">
      <c r="A211" s="16" t="n">
        <v>45999</v>
      </c>
      <c r="B211" s="17" t="n">
        <v>3.57</v>
      </c>
      <c r="C211" s="18">
        <f>(B211-B212)*100</f>
        <v/>
      </c>
      <c r="D211" s="17" t="n">
        <v>3.59</v>
      </c>
      <c r="E211" s="18">
        <f>(D211-D212)*100</f>
        <v/>
      </c>
      <c r="F211" s="17" t="n">
        <v>3.75</v>
      </c>
      <c r="G211" s="18">
        <f>(F211-F212)*100</f>
        <v/>
      </c>
      <c r="H211" s="17" t="n">
        <v>4.17</v>
      </c>
      <c r="I211" s="18">
        <f>(H211-H212)*100</f>
        <v/>
      </c>
      <c r="J211" s="17" t="n">
        <v>4.81</v>
      </c>
      <c r="K211" s="18">
        <f>(J211-J212)*100</f>
        <v/>
      </c>
      <c r="L211" s="18">
        <f>(F211-B211)*100</f>
        <v/>
      </c>
      <c r="M211" s="20">
        <f>(L211-$D$9)/$E$9</f>
        <v/>
      </c>
      <c r="N211" s="18">
        <f>(F211-D211)*100</f>
        <v/>
      </c>
      <c r="O211" s="20">
        <f>(N211-$D$10)/$E$10</f>
        <v/>
      </c>
      <c r="P211" s="18">
        <f>(H211-F211)*100</f>
        <v/>
      </c>
      <c r="Q211" s="20">
        <f>(P211-$D$11)/$E$11</f>
        <v/>
      </c>
      <c r="R211" s="18">
        <f>(J211-F211)*100</f>
        <v/>
      </c>
      <c r="S211" s="20">
        <f>(R211-$D$12)/$E$12</f>
        <v/>
      </c>
      <c r="T211" s="18">
        <f>(H211-B211)*100</f>
        <v/>
      </c>
      <c r="U211" s="20">
        <f>(T211-$D$13)/$E$13</f>
        <v/>
      </c>
      <c r="V211" s="18">
        <f>(H211-D211)*100</f>
        <v/>
      </c>
      <c r="W211" s="20">
        <f>(V211-$D$14)/$E$14</f>
        <v/>
      </c>
      <c r="X211" s="18">
        <f>(J211-H211)*100</f>
        <v/>
      </c>
      <c r="Y211" s="20">
        <f>(X211-$D$15)/$E$15</f>
        <v/>
      </c>
      <c r="Z211" s="18">
        <f>(J211-B211)*100</f>
        <v/>
      </c>
      <c r="AA211" s="20">
        <f>(Z211-$D$16)/$E$16</f>
        <v/>
      </c>
      <c r="AB211" s="18">
        <f>(2*F211-B211-H211)*100</f>
        <v/>
      </c>
      <c r="AC211" s="20">
        <f>(AB211-$D$17)/$E$17</f>
        <v/>
      </c>
      <c r="AD211" s="18">
        <f>L211-L212</f>
        <v/>
      </c>
      <c r="AE211" s="18">
        <f>N211-N212</f>
        <v/>
      </c>
      <c r="AF211" s="18">
        <f>P211-P212</f>
        <v/>
      </c>
      <c r="AG211" s="18">
        <f>R211-R212</f>
        <v/>
      </c>
      <c r="AH211" s="18">
        <f>T211-T212</f>
        <v/>
      </c>
      <c r="AI211" s="18">
        <f>V211-V212</f>
        <v/>
      </c>
      <c r="AJ211" s="18">
        <f>X211-X212</f>
        <v/>
      </c>
      <c r="AK211" s="18">
        <f>Z211-Z212</f>
        <v/>
      </c>
      <c r="AL211" s="18">
        <f>AB211-AB212</f>
        <v/>
      </c>
    </row>
    <row r="212">
      <c r="A212" s="16" t="n">
        <v>45996</v>
      </c>
      <c r="B212" s="17" t="n">
        <v>3.56</v>
      </c>
      <c r="C212" s="18">
        <f>(B212-B213)*100</f>
        <v/>
      </c>
      <c r="D212" s="17" t="n">
        <v>3.59</v>
      </c>
      <c r="E212" s="18">
        <f>(D212-D213)*100</f>
        <v/>
      </c>
      <c r="F212" s="17" t="n">
        <v>3.72</v>
      </c>
      <c r="G212" s="18">
        <f>(F212-F213)*100</f>
        <v/>
      </c>
      <c r="H212" s="17" t="n">
        <v>4.14</v>
      </c>
      <c r="I212" s="18">
        <f>(H212-H213)*100</f>
        <v/>
      </c>
      <c r="J212" s="17" t="n">
        <v>4.79</v>
      </c>
      <c r="K212" s="18">
        <f>(J212-J213)*100</f>
        <v/>
      </c>
      <c r="L212" s="18">
        <f>(F212-B212)*100</f>
        <v/>
      </c>
      <c r="M212" s="20">
        <f>(L212-$D$9)/$E$9</f>
        <v/>
      </c>
      <c r="N212" s="18">
        <f>(F212-D212)*100</f>
        <v/>
      </c>
      <c r="O212" s="20">
        <f>(N212-$D$10)/$E$10</f>
        <v/>
      </c>
      <c r="P212" s="18">
        <f>(H212-F212)*100</f>
        <v/>
      </c>
      <c r="Q212" s="20">
        <f>(P212-$D$11)/$E$11</f>
        <v/>
      </c>
      <c r="R212" s="18">
        <f>(J212-F212)*100</f>
        <v/>
      </c>
      <c r="S212" s="20">
        <f>(R212-$D$12)/$E$12</f>
        <v/>
      </c>
      <c r="T212" s="18">
        <f>(H212-B212)*100</f>
        <v/>
      </c>
      <c r="U212" s="20">
        <f>(T212-$D$13)/$E$13</f>
        <v/>
      </c>
      <c r="V212" s="18">
        <f>(H212-D212)*100</f>
        <v/>
      </c>
      <c r="W212" s="20">
        <f>(V212-$D$14)/$E$14</f>
        <v/>
      </c>
      <c r="X212" s="18">
        <f>(J212-H212)*100</f>
        <v/>
      </c>
      <c r="Y212" s="20">
        <f>(X212-$D$15)/$E$15</f>
        <v/>
      </c>
      <c r="Z212" s="18">
        <f>(J212-B212)*100</f>
        <v/>
      </c>
      <c r="AA212" s="20">
        <f>(Z212-$D$16)/$E$16</f>
        <v/>
      </c>
      <c r="AB212" s="18">
        <f>(2*F212-B212-H212)*100</f>
        <v/>
      </c>
      <c r="AC212" s="20">
        <f>(AB212-$D$17)/$E$17</f>
        <v/>
      </c>
      <c r="AD212" s="18">
        <f>L212-L213</f>
        <v/>
      </c>
      <c r="AE212" s="18">
        <f>N212-N213</f>
        <v/>
      </c>
      <c r="AF212" s="18">
        <f>P212-P213</f>
        <v/>
      </c>
      <c r="AG212" s="18">
        <f>R212-R213</f>
        <v/>
      </c>
      <c r="AH212" s="18">
        <f>T212-T213</f>
        <v/>
      </c>
      <c r="AI212" s="18">
        <f>V212-V213</f>
        <v/>
      </c>
      <c r="AJ212" s="18">
        <f>X212-X213</f>
        <v/>
      </c>
      <c r="AK212" s="18">
        <f>Z212-Z213</f>
        <v/>
      </c>
      <c r="AL212" s="18">
        <f>AB212-AB213</f>
        <v/>
      </c>
    </row>
    <row r="213">
      <c r="A213" s="16" t="n">
        <v>45995</v>
      </c>
      <c r="B213" s="17" t="n">
        <v>3.52</v>
      </c>
      <c r="C213" s="18">
        <f>(B213-B214)*100</f>
        <v/>
      </c>
      <c r="D213" s="17" t="n">
        <v>3.55</v>
      </c>
      <c r="E213" s="18">
        <f>(D213-D214)*100</f>
        <v/>
      </c>
      <c r="F213" s="17" t="n">
        <v>3.68</v>
      </c>
      <c r="G213" s="18">
        <f>(F213-F214)*100</f>
        <v/>
      </c>
      <c r="H213" s="17" t="n">
        <v>4.11</v>
      </c>
      <c r="I213" s="18">
        <f>(H213-H214)*100</f>
        <v/>
      </c>
      <c r="J213" s="17" t="n">
        <v>4.76</v>
      </c>
      <c r="K213" s="18">
        <f>(J213-J214)*100</f>
        <v/>
      </c>
      <c r="L213" s="18">
        <f>(F213-B213)*100</f>
        <v/>
      </c>
      <c r="M213" s="20">
        <f>(L213-$D$9)/$E$9</f>
        <v/>
      </c>
      <c r="N213" s="18">
        <f>(F213-D213)*100</f>
        <v/>
      </c>
      <c r="O213" s="20">
        <f>(N213-$D$10)/$E$10</f>
        <v/>
      </c>
      <c r="P213" s="18">
        <f>(H213-F213)*100</f>
        <v/>
      </c>
      <c r="Q213" s="20">
        <f>(P213-$D$11)/$E$11</f>
        <v/>
      </c>
      <c r="R213" s="18">
        <f>(J213-F213)*100</f>
        <v/>
      </c>
      <c r="S213" s="20">
        <f>(R213-$D$12)/$E$12</f>
        <v/>
      </c>
      <c r="T213" s="18">
        <f>(H213-B213)*100</f>
        <v/>
      </c>
      <c r="U213" s="20">
        <f>(T213-$D$13)/$E$13</f>
        <v/>
      </c>
      <c r="V213" s="18">
        <f>(H213-D213)*100</f>
        <v/>
      </c>
      <c r="W213" s="20">
        <f>(V213-$D$14)/$E$14</f>
        <v/>
      </c>
      <c r="X213" s="18">
        <f>(J213-H213)*100</f>
        <v/>
      </c>
      <c r="Y213" s="20">
        <f>(X213-$D$15)/$E$15</f>
        <v/>
      </c>
      <c r="Z213" s="18">
        <f>(J213-B213)*100</f>
        <v/>
      </c>
      <c r="AA213" s="20">
        <f>(Z213-$D$16)/$E$16</f>
        <v/>
      </c>
      <c r="AB213" s="18">
        <f>(2*F213-B213-H213)*100</f>
        <v/>
      </c>
      <c r="AC213" s="20">
        <f>(AB213-$D$17)/$E$17</f>
        <v/>
      </c>
      <c r="AD213" s="18">
        <f>L213-L214</f>
        <v/>
      </c>
      <c r="AE213" s="18">
        <f>N213-N214</f>
        <v/>
      </c>
      <c r="AF213" s="18">
        <f>P213-P214</f>
        <v/>
      </c>
      <c r="AG213" s="18">
        <f>R213-R214</f>
        <v/>
      </c>
      <c r="AH213" s="18">
        <f>T213-T214</f>
        <v/>
      </c>
      <c r="AI213" s="18">
        <f>V213-V214</f>
        <v/>
      </c>
      <c r="AJ213" s="18">
        <f>X213-X214</f>
        <v/>
      </c>
      <c r="AK213" s="18">
        <f>Z213-Z214</f>
        <v/>
      </c>
      <c r="AL213" s="18">
        <f>AB213-AB214</f>
        <v/>
      </c>
    </row>
    <row r="214">
      <c r="A214" s="16" t="n">
        <v>45994</v>
      </c>
      <c r="B214" s="17" t="n">
        <v>3.49</v>
      </c>
      <c r="C214" s="18">
        <f>(B214-B215)*100</f>
        <v/>
      </c>
      <c r="D214" s="17" t="n">
        <v>3.5</v>
      </c>
      <c r="E214" s="18">
        <f>(D214-D215)*100</f>
        <v/>
      </c>
      <c r="F214" s="17" t="n">
        <v>3.62</v>
      </c>
      <c r="G214" s="18">
        <f>(F214-F215)*100</f>
        <v/>
      </c>
      <c r="H214" s="17" t="n">
        <v>4.06</v>
      </c>
      <c r="I214" s="18">
        <f>(H214-H215)*100</f>
        <v/>
      </c>
      <c r="J214" s="17" t="n">
        <v>4.73</v>
      </c>
      <c r="K214" s="18">
        <f>(J214-J215)*100</f>
        <v/>
      </c>
      <c r="L214" s="18">
        <f>(F214-B214)*100</f>
        <v/>
      </c>
      <c r="M214" s="20">
        <f>(L214-$D$9)/$E$9</f>
        <v/>
      </c>
      <c r="N214" s="18">
        <f>(F214-D214)*100</f>
        <v/>
      </c>
      <c r="O214" s="20">
        <f>(N214-$D$10)/$E$10</f>
        <v/>
      </c>
      <c r="P214" s="18">
        <f>(H214-F214)*100</f>
        <v/>
      </c>
      <c r="Q214" s="20">
        <f>(P214-$D$11)/$E$11</f>
        <v/>
      </c>
      <c r="R214" s="18">
        <f>(J214-F214)*100</f>
        <v/>
      </c>
      <c r="S214" s="20">
        <f>(R214-$D$12)/$E$12</f>
        <v/>
      </c>
      <c r="T214" s="18">
        <f>(H214-B214)*100</f>
        <v/>
      </c>
      <c r="U214" s="20">
        <f>(T214-$D$13)/$E$13</f>
        <v/>
      </c>
      <c r="V214" s="18">
        <f>(H214-D214)*100</f>
        <v/>
      </c>
      <c r="W214" s="20">
        <f>(V214-$D$14)/$E$14</f>
        <v/>
      </c>
      <c r="X214" s="18">
        <f>(J214-H214)*100</f>
        <v/>
      </c>
      <c r="Y214" s="20">
        <f>(X214-$D$15)/$E$15</f>
        <v/>
      </c>
      <c r="Z214" s="18">
        <f>(J214-B214)*100</f>
        <v/>
      </c>
      <c r="AA214" s="20">
        <f>(Z214-$D$16)/$E$16</f>
        <v/>
      </c>
      <c r="AB214" s="18">
        <f>(2*F214-B214-H214)*100</f>
        <v/>
      </c>
      <c r="AC214" s="20">
        <f>(AB214-$D$17)/$E$17</f>
        <v/>
      </c>
      <c r="AD214" s="18">
        <f>L214-L215</f>
        <v/>
      </c>
      <c r="AE214" s="18">
        <f>N214-N215</f>
        <v/>
      </c>
      <c r="AF214" s="18">
        <f>P214-P215</f>
        <v/>
      </c>
      <c r="AG214" s="18">
        <f>R214-R215</f>
        <v/>
      </c>
      <c r="AH214" s="18">
        <f>T214-T215</f>
        <v/>
      </c>
      <c r="AI214" s="18">
        <f>V214-V215</f>
        <v/>
      </c>
      <c r="AJ214" s="18">
        <f>X214-X215</f>
        <v/>
      </c>
      <c r="AK214" s="18">
        <f>Z214-Z215</f>
        <v/>
      </c>
      <c r="AL214" s="18">
        <f>AB214-AB215</f>
        <v/>
      </c>
    </row>
    <row r="215">
      <c r="A215" s="16" t="n">
        <v>45993</v>
      </c>
      <c r="B215" s="17" t="n">
        <v>3.51</v>
      </c>
      <c r="C215" s="18">
        <f>(B215-B216)*100</f>
        <v/>
      </c>
      <c r="D215" s="17" t="n">
        <v>3.54</v>
      </c>
      <c r="E215" s="18">
        <f>(D215-D216)*100</f>
        <v/>
      </c>
      <c r="F215" s="17" t="n">
        <v>3.66</v>
      </c>
      <c r="G215" s="18">
        <f>(F215-F216)*100</f>
        <v/>
      </c>
      <c r="H215" s="17" t="n">
        <v>4.09</v>
      </c>
      <c r="I215" s="18">
        <f>(H215-H216)*100</f>
        <v/>
      </c>
      <c r="J215" s="17" t="n">
        <v>4.74</v>
      </c>
      <c r="K215" s="18">
        <f>(J215-J216)*100</f>
        <v/>
      </c>
      <c r="L215" s="18">
        <f>(F215-B215)*100</f>
        <v/>
      </c>
      <c r="M215" s="20">
        <f>(L215-$D$9)/$E$9</f>
        <v/>
      </c>
      <c r="N215" s="18">
        <f>(F215-D215)*100</f>
        <v/>
      </c>
      <c r="O215" s="20">
        <f>(N215-$D$10)/$E$10</f>
        <v/>
      </c>
      <c r="P215" s="18">
        <f>(H215-F215)*100</f>
        <v/>
      </c>
      <c r="Q215" s="20">
        <f>(P215-$D$11)/$E$11</f>
        <v/>
      </c>
      <c r="R215" s="18">
        <f>(J215-F215)*100</f>
        <v/>
      </c>
      <c r="S215" s="20">
        <f>(R215-$D$12)/$E$12</f>
        <v/>
      </c>
      <c r="T215" s="18">
        <f>(H215-B215)*100</f>
        <v/>
      </c>
      <c r="U215" s="20">
        <f>(T215-$D$13)/$E$13</f>
        <v/>
      </c>
      <c r="V215" s="18">
        <f>(H215-D215)*100</f>
        <v/>
      </c>
      <c r="W215" s="20">
        <f>(V215-$D$14)/$E$14</f>
        <v/>
      </c>
      <c r="X215" s="18">
        <f>(J215-H215)*100</f>
        <v/>
      </c>
      <c r="Y215" s="20">
        <f>(X215-$D$15)/$E$15</f>
        <v/>
      </c>
      <c r="Z215" s="18">
        <f>(J215-B215)*100</f>
        <v/>
      </c>
      <c r="AA215" s="20">
        <f>(Z215-$D$16)/$E$16</f>
        <v/>
      </c>
      <c r="AB215" s="18">
        <f>(2*F215-B215-H215)*100</f>
        <v/>
      </c>
      <c r="AC215" s="20">
        <f>(AB215-$D$17)/$E$17</f>
        <v/>
      </c>
      <c r="AD215" s="18">
        <f>L215-L216</f>
        <v/>
      </c>
      <c r="AE215" s="18">
        <f>N215-N216</f>
        <v/>
      </c>
      <c r="AF215" s="18">
        <f>P215-P216</f>
        <v/>
      </c>
      <c r="AG215" s="18">
        <f>R215-R216</f>
        <v/>
      </c>
      <c r="AH215" s="18">
        <f>T215-T216</f>
        <v/>
      </c>
      <c r="AI215" s="18">
        <f>V215-V216</f>
        <v/>
      </c>
      <c r="AJ215" s="18">
        <f>X215-X216</f>
        <v/>
      </c>
      <c r="AK215" s="18">
        <f>Z215-Z216</f>
        <v/>
      </c>
      <c r="AL215" s="18">
        <f>AB215-AB216</f>
        <v/>
      </c>
    </row>
    <row r="216">
      <c r="A216" s="16" t="n">
        <v>45992</v>
      </c>
      <c r="B216" s="17" t="n">
        <v>3.54</v>
      </c>
      <c r="C216" s="18">
        <f>(B216-B217)*100</f>
        <v/>
      </c>
      <c r="D216" s="17" t="n">
        <v>3.55</v>
      </c>
      <c r="E216" s="18">
        <f>(D216-D217)*100</f>
        <v/>
      </c>
      <c r="F216" s="17" t="n">
        <v>3.67</v>
      </c>
      <c r="G216" s="18">
        <f>(F216-F217)*100</f>
        <v/>
      </c>
      <c r="H216" s="17" t="n">
        <v>4.09</v>
      </c>
      <c r="I216" s="18">
        <f>(H216-H217)*100</f>
        <v/>
      </c>
      <c r="J216" s="17" t="n">
        <v>4.74</v>
      </c>
      <c r="K216" s="18">
        <f>(J216-J217)*100</f>
        <v/>
      </c>
      <c r="L216" s="18">
        <f>(F216-B216)*100</f>
        <v/>
      </c>
      <c r="M216" s="20">
        <f>(L216-$D$9)/$E$9</f>
        <v/>
      </c>
      <c r="N216" s="18">
        <f>(F216-D216)*100</f>
        <v/>
      </c>
      <c r="O216" s="20">
        <f>(N216-$D$10)/$E$10</f>
        <v/>
      </c>
      <c r="P216" s="18">
        <f>(H216-F216)*100</f>
        <v/>
      </c>
      <c r="Q216" s="20">
        <f>(P216-$D$11)/$E$11</f>
        <v/>
      </c>
      <c r="R216" s="18">
        <f>(J216-F216)*100</f>
        <v/>
      </c>
      <c r="S216" s="20">
        <f>(R216-$D$12)/$E$12</f>
        <v/>
      </c>
      <c r="T216" s="18">
        <f>(H216-B216)*100</f>
        <v/>
      </c>
      <c r="U216" s="20">
        <f>(T216-$D$13)/$E$13</f>
        <v/>
      </c>
      <c r="V216" s="18">
        <f>(H216-D216)*100</f>
        <v/>
      </c>
      <c r="W216" s="20">
        <f>(V216-$D$14)/$E$14</f>
        <v/>
      </c>
      <c r="X216" s="18">
        <f>(J216-H216)*100</f>
        <v/>
      </c>
      <c r="Y216" s="20">
        <f>(X216-$D$15)/$E$15</f>
        <v/>
      </c>
      <c r="Z216" s="18">
        <f>(J216-B216)*100</f>
        <v/>
      </c>
      <c r="AA216" s="20">
        <f>(Z216-$D$16)/$E$16</f>
        <v/>
      </c>
      <c r="AB216" s="18">
        <f>(2*F216-B216-H216)*100</f>
        <v/>
      </c>
      <c r="AC216" s="20">
        <f>(AB216-$D$17)/$E$17</f>
        <v/>
      </c>
      <c r="AD216" s="18">
        <f>L216-L217</f>
        <v/>
      </c>
      <c r="AE216" s="18">
        <f>N216-N217</f>
        <v/>
      </c>
      <c r="AF216" s="18">
        <f>P216-P217</f>
        <v/>
      </c>
      <c r="AG216" s="18">
        <f>R216-R217</f>
        <v/>
      </c>
      <c r="AH216" s="18">
        <f>T216-T217</f>
        <v/>
      </c>
      <c r="AI216" s="18">
        <f>V216-V217</f>
        <v/>
      </c>
      <c r="AJ216" s="18">
        <f>X216-X217</f>
        <v/>
      </c>
      <c r="AK216" s="18">
        <f>Z216-Z217</f>
        <v/>
      </c>
      <c r="AL216" s="18">
        <f>AB216-AB217</f>
        <v/>
      </c>
    </row>
    <row r="217">
      <c r="A217" s="16" t="n">
        <v>45989</v>
      </c>
      <c r="B217" s="17" t="n">
        <v>3.47</v>
      </c>
      <c r="C217" s="18">
        <f>(B217-B218)*100</f>
        <v/>
      </c>
      <c r="D217" s="17" t="n">
        <v>3.49</v>
      </c>
      <c r="E217" s="18">
        <f>(D217-D218)*100</f>
        <v/>
      </c>
      <c r="F217" s="17" t="n">
        <v>3.59</v>
      </c>
      <c r="G217" s="18">
        <f>(F217-F218)*100</f>
        <v/>
      </c>
      <c r="H217" s="17" t="n">
        <v>4.02</v>
      </c>
      <c r="I217" s="18">
        <f>(H217-H218)*100</f>
        <v/>
      </c>
      <c r="J217" s="17" t="n">
        <v>4.67</v>
      </c>
      <c r="K217" s="18">
        <f>(J217-J218)*100</f>
        <v/>
      </c>
      <c r="L217" s="18">
        <f>(F217-B217)*100</f>
        <v/>
      </c>
      <c r="M217" s="20">
        <f>(L217-$D$9)/$E$9</f>
        <v/>
      </c>
      <c r="N217" s="18">
        <f>(F217-D217)*100</f>
        <v/>
      </c>
      <c r="O217" s="20">
        <f>(N217-$D$10)/$E$10</f>
        <v/>
      </c>
      <c r="P217" s="18">
        <f>(H217-F217)*100</f>
        <v/>
      </c>
      <c r="Q217" s="20">
        <f>(P217-$D$11)/$E$11</f>
        <v/>
      </c>
      <c r="R217" s="18">
        <f>(J217-F217)*100</f>
        <v/>
      </c>
      <c r="S217" s="20">
        <f>(R217-$D$12)/$E$12</f>
        <v/>
      </c>
      <c r="T217" s="18">
        <f>(H217-B217)*100</f>
        <v/>
      </c>
      <c r="U217" s="20">
        <f>(T217-$D$13)/$E$13</f>
        <v/>
      </c>
      <c r="V217" s="18">
        <f>(H217-D217)*100</f>
        <v/>
      </c>
      <c r="W217" s="20">
        <f>(V217-$D$14)/$E$14</f>
        <v/>
      </c>
      <c r="X217" s="18">
        <f>(J217-H217)*100</f>
        <v/>
      </c>
      <c r="Y217" s="20">
        <f>(X217-$D$15)/$E$15</f>
        <v/>
      </c>
      <c r="Z217" s="18">
        <f>(J217-B217)*100</f>
        <v/>
      </c>
      <c r="AA217" s="20">
        <f>(Z217-$D$16)/$E$16</f>
        <v/>
      </c>
      <c r="AB217" s="18">
        <f>(2*F217-B217-H217)*100</f>
        <v/>
      </c>
      <c r="AC217" s="20">
        <f>(AB217-$D$17)/$E$17</f>
        <v/>
      </c>
      <c r="AD217" s="18">
        <f>L217-L218</f>
        <v/>
      </c>
      <c r="AE217" s="18">
        <f>N217-N218</f>
        <v/>
      </c>
      <c r="AF217" s="18">
        <f>P217-P218</f>
        <v/>
      </c>
      <c r="AG217" s="18">
        <f>R217-R218</f>
        <v/>
      </c>
      <c r="AH217" s="18">
        <f>T217-T218</f>
        <v/>
      </c>
      <c r="AI217" s="18">
        <f>V217-V218</f>
        <v/>
      </c>
      <c r="AJ217" s="18">
        <f>X217-X218</f>
        <v/>
      </c>
      <c r="AK217" s="18">
        <f>Z217-Z218</f>
        <v/>
      </c>
      <c r="AL217" s="18">
        <f>AB217-AB218</f>
        <v/>
      </c>
    </row>
    <row r="218">
      <c r="A218" s="16" t="n">
        <v>45987</v>
      </c>
      <c r="B218" s="17" t="n">
        <v>3.45</v>
      </c>
      <c r="C218" s="18">
        <f>(B218-B219)*100</f>
        <v/>
      </c>
      <c r="D218" s="17" t="n">
        <v>3.47</v>
      </c>
      <c r="E218" s="18">
        <f>(D218-D219)*100</f>
        <v/>
      </c>
      <c r="F218" s="17" t="n">
        <v>3.56</v>
      </c>
      <c r="G218" s="18">
        <f>(F218-F219)*100</f>
        <v/>
      </c>
      <c r="H218" s="17" t="n">
        <v>4</v>
      </c>
      <c r="I218" s="18">
        <f>(H218-H219)*100</f>
        <v/>
      </c>
      <c r="J218" s="17" t="n">
        <v>4.64</v>
      </c>
      <c r="K218" s="18">
        <f>(J218-J219)*100</f>
        <v/>
      </c>
      <c r="L218" s="18">
        <f>(F218-B218)*100</f>
        <v/>
      </c>
      <c r="M218" s="20">
        <f>(L218-$D$9)/$E$9</f>
        <v/>
      </c>
      <c r="N218" s="18">
        <f>(F218-D218)*100</f>
        <v/>
      </c>
      <c r="O218" s="20">
        <f>(N218-$D$10)/$E$10</f>
        <v/>
      </c>
      <c r="P218" s="18">
        <f>(H218-F218)*100</f>
        <v/>
      </c>
      <c r="Q218" s="20">
        <f>(P218-$D$11)/$E$11</f>
        <v/>
      </c>
      <c r="R218" s="18">
        <f>(J218-F218)*100</f>
        <v/>
      </c>
      <c r="S218" s="20">
        <f>(R218-$D$12)/$E$12</f>
        <v/>
      </c>
      <c r="T218" s="18">
        <f>(H218-B218)*100</f>
        <v/>
      </c>
      <c r="U218" s="20">
        <f>(T218-$D$13)/$E$13</f>
        <v/>
      </c>
      <c r="V218" s="18">
        <f>(H218-D218)*100</f>
        <v/>
      </c>
      <c r="W218" s="20">
        <f>(V218-$D$14)/$E$14</f>
        <v/>
      </c>
      <c r="X218" s="18">
        <f>(J218-H218)*100</f>
        <v/>
      </c>
      <c r="Y218" s="20">
        <f>(X218-$D$15)/$E$15</f>
        <v/>
      </c>
      <c r="Z218" s="18">
        <f>(J218-B218)*100</f>
        <v/>
      </c>
      <c r="AA218" s="20">
        <f>(Z218-$D$16)/$E$16</f>
        <v/>
      </c>
      <c r="AB218" s="18">
        <f>(2*F218-B218-H218)*100</f>
        <v/>
      </c>
      <c r="AC218" s="20">
        <f>(AB218-$D$17)/$E$17</f>
        <v/>
      </c>
      <c r="AD218" s="18">
        <f>L218-L219</f>
        <v/>
      </c>
      <c r="AE218" s="18">
        <f>N218-N219</f>
        <v/>
      </c>
      <c r="AF218" s="18">
        <f>P218-P219</f>
        <v/>
      </c>
      <c r="AG218" s="18">
        <f>R218-R219</f>
        <v/>
      </c>
      <c r="AH218" s="18">
        <f>T218-T219</f>
        <v/>
      </c>
      <c r="AI218" s="18">
        <f>V218-V219</f>
        <v/>
      </c>
      <c r="AJ218" s="18">
        <f>X218-X219</f>
        <v/>
      </c>
      <c r="AK218" s="18">
        <f>Z218-Z219</f>
        <v/>
      </c>
      <c r="AL218" s="18">
        <f>AB218-AB219</f>
        <v/>
      </c>
    </row>
    <row r="219">
      <c r="A219" s="16" t="n">
        <v>45986</v>
      </c>
      <c r="B219" s="17" t="n">
        <v>3.43</v>
      </c>
      <c r="C219" s="18">
        <f>(B219-B220)*100</f>
        <v/>
      </c>
      <c r="D219" s="17" t="n">
        <v>3.46</v>
      </c>
      <c r="E219" s="18">
        <f>(D219-D220)*100</f>
        <v/>
      </c>
      <c r="F219" s="17" t="n">
        <v>3.55</v>
      </c>
      <c r="G219" s="18">
        <f>(F219-F220)*100</f>
        <v/>
      </c>
      <c r="H219" s="17" t="n">
        <v>4.01</v>
      </c>
      <c r="I219" s="18">
        <f>(H219-H220)*100</f>
        <v/>
      </c>
      <c r="J219" s="17" t="n">
        <v>4.67</v>
      </c>
      <c r="K219" s="18">
        <f>(J219-J220)*100</f>
        <v/>
      </c>
      <c r="L219" s="18">
        <f>(F219-B219)*100</f>
        <v/>
      </c>
      <c r="M219" s="20">
        <f>(L219-$D$9)/$E$9</f>
        <v/>
      </c>
      <c r="N219" s="18">
        <f>(F219-D219)*100</f>
        <v/>
      </c>
      <c r="O219" s="20">
        <f>(N219-$D$10)/$E$10</f>
        <v/>
      </c>
      <c r="P219" s="18">
        <f>(H219-F219)*100</f>
        <v/>
      </c>
      <c r="Q219" s="20">
        <f>(P219-$D$11)/$E$11</f>
        <v/>
      </c>
      <c r="R219" s="18">
        <f>(J219-F219)*100</f>
        <v/>
      </c>
      <c r="S219" s="20">
        <f>(R219-$D$12)/$E$12</f>
        <v/>
      </c>
      <c r="T219" s="18">
        <f>(H219-B219)*100</f>
        <v/>
      </c>
      <c r="U219" s="20">
        <f>(T219-$D$13)/$E$13</f>
        <v/>
      </c>
      <c r="V219" s="18">
        <f>(H219-D219)*100</f>
        <v/>
      </c>
      <c r="W219" s="20">
        <f>(V219-$D$14)/$E$14</f>
        <v/>
      </c>
      <c r="X219" s="18">
        <f>(J219-H219)*100</f>
        <v/>
      </c>
      <c r="Y219" s="20">
        <f>(X219-$D$15)/$E$15</f>
        <v/>
      </c>
      <c r="Z219" s="18">
        <f>(J219-B219)*100</f>
        <v/>
      </c>
      <c r="AA219" s="20">
        <f>(Z219-$D$16)/$E$16</f>
        <v/>
      </c>
      <c r="AB219" s="18">
        <f>(2*F219-B219-H219)*100</f>
        <v/>
      </c>
      <c r="AC219" s="20">
        <f>(AB219-$D$17)/$E$17</f>
        <v/>
      </c>
      <c r="AD219" s="18">
        <f>L219-L220</f>
        <v/>
      </c>
      <c r="AE219" s="18">
        <f>N219-N220</f>
        <v/>
      </c>
      <c r="AF219" s="18">
        <f>P219-P220</f>
        <v/>
      </c>
      <c r="AG219" s="18">
        <f>R219-R220</f>
        <v/>
      </c>
      <c r="AH219" s="18">
        <f>T219-T220</f>
        <v/>
      </c>
      <c r="AI219" s="18">
        <f>V219-V220</f>
        <v/>
      </c>
      <c r="AJ219" s="18">
        <f>X219-X220</f>
        <v/>
      </c>
      <c r="AK219" s="18">
        <f>Z219-Z220</f>
        <v/>
      </c>
      <c r="AL219" s="18">
        <f>AB219-AB220</f>
        <v/>
      </c>
    </row>
    <row r="220">
      <c r="A220" s="16" t="n">
        <v>45985</v>
      </c>
      <c r="B220" s="17" t="n">
        <v>3.46</v>
      </c>
      <c r="C220" s="18">
        <f>(B220-B221)*100</f>
        <v/>
      </c>
      <c r="D220" s="17" t="n">
        <v>3.49</v>
      </c>
      <c r="E220" s="18">
        <f>(D220-D221)*100</f>
        <v/>
      </c>
      <c r="F220" s="17" t="n">
        <v>3.61</v>
      </c>
      <c r="G220" s="18">
        <f>(F220-F221)*100</f>
        <v/>
      </c>
      <c r="H220" s="17" t="n">
        <v>4.04</v>
      </c>
      <c r="I220" s="18">
        <f>(H220-H221)*100</f>
        <v/>
      </c>
      <c r="J220" s="17" t="n">
        <v>4.68</v>
      </c>
      <c r="K220" s="18">
        <f>(J220-J221)*100</f>
        <v/>
      </c>
      <c r="L220" s="18">
        <f>(F220-B220)*100</f>
        <v/>
      </c>
      <c r="M220" s="20">
        <f>(L220-$D$9)/$E$9</f>
        <v/>
      </c>
      <c r="N220" s="18">
        <f>(F220-D220)*100</f>
        <v/>
      </c>
      <c r="O220" s="20">
        <f>(N220-$D$10)/$E$10</f>
        <v/>
      </c>
      <c r="P220" s="18">
        <f>(H220-F220)*100</f>
        <v/>
      </c>
      <c r="Q220" s="20">
        <f>(P220-$D$11)/$E$11</f>
        <v/>
      </c>
      <c r="R220" s="18">
        <f>(J220-F220)*100</f>
        <v/>
      </c>
      <c r="S220" s="20">
        <f>(R220-$D$12)/$E$12</f>
        <v/>
      </c>
      <c r="T220" s="18">
        <f>(H220-B220)*100</f>
        <v/>
      </c>
      <c r="U220" s="20">
        <f>(T220-$D$13)/$E$13</f>
        <v/>
      </c>
      <c r="V220" s="18">
        <f>(H220-D220)*100</f>
        <v/>
      </c>
      <c r="W220" s="20">
        <f>(V220-$D$14)/$E$14</f>
        <v/>
      </c>
      <c r="X220" s="18">
        <f>(J220-H220)*100</f>
        <v/>
      </c>
      <c r="Y220" s="20">
        <f>(X220-$D$15)/$E$15</f>
        <v/>
      </c>
      <c r="Z220" s="18">
        <f>(J220-B220)*100</f>
        <v/>
      </c>
      <c r="AA220" s="20">
        <f>(Z220-$D$16)/$E$16</f>
        <v/>
      </c>
      <c r="AB220" s="18">
        <f>(2*F220-B220-H220)*100</f>
        <v/>
      </c>
      <c r="AC220" s="20">
        <f>(AB220-$D$17)/$E$17</f>
        <v/>
      </c>
      <c r="AD220" s="18">
        <f>L220-L221</f>
        <v/>
      </c>
      <c r="AE220" s="18">
        <f>N220-N221</f>
        <v/>
      </c>
      <c r="AF220" s="18">
        <f>P220-P221</f>
        <v/>
      </c>
      <c r="AG220" s="18">
        <f>R220-R221</f>
        <v/>
      </c>
      <c r="AH220" s="18">
        <f>T220-T221</f>
        <v/>
      </c>
      <c r="AI220" s="18">
        <f>V220-V221</f>
        <v/>
      </c>
      <c r="AJ220" s="18">
        <f>X220-X221</f>
        <v/>
      </c>
      <c r="AK220" s="18">
        <f>Z220-Z221</f>
        <v/>
      </c>
      <c r="AL220" s="18">
        <f>AB220-AB221</f>
        <v/>
      </c>
    </row>
    <row r="221">
      <c r="A221" s="16" t="n">
        <v>45982</v>
      </c>
      <c r="B221" s="17" t="n">
        <v>3.51</v>
      </c>
      <c r="C221" s="18">
        <f>(B221-B222)*100</f>
        <v/>
      </c>
      <c r="D221" s="17" t="n">
        <v>3.5</v>
      </c>
      <c r="E221" s="18">
        <f>(D221-D222)*100</f>
        <v/>
      </c>
      <c r="F221" s="17" t="n">
        <v>3.62</v>
      </c>
      <c r="G221" s="18">
        <f>(F221-F222)*100</f>
        <v/>
      </c>
      <c r="H221" s="17" t="n">
        <v>4.06</v>
      </c>
      <c r="I221" s="18">
        <f>(H221-H222)*100</f>
        <v/>
      </c>
      <c r="J221" s="17" t="n">
        <v>4.71</v>
      </c>
      <c r="K221" s="18">
        <f>(J221-J222)*100</f>
        <v/>
      </c>
      <c r="L221" s="18">
        <f>(F221-B221)*100</f>
        <v/>
      </c>
      <c r="M221" s="20">
        <f>(L221-$D$9)/$E$9</f>
        <v/>
      </c>
      <c r="N221" s="18">
        <f>(F221-D221)*100</f>
        <v/>
      </c>
      <c r="O221" s="20">
        <f>(N221-$D$10)/$E$10</f>
        <v/>
      </c>
      <c r="P221" s="18">
        <f>(H221-F221)*100</f>
        <v/>
      </c>
      <c r="Q221" s="20">
        <f>(P221-$D$11)/$E$11</f>
        <v/>
      </c>
      <c r="R221" s="18">
        <f>(J221-F221)*100</f>
        <v/>
      </c>
      <c r="S221" s="20">
        <f>(R221-$D$12)/$E$12</f>
        <v/>
      </c>
      <c r="T221" s="18">
        <f>(H221-B221)*100</f>
        <v/>
      </c>
      <c r="U221" s="20">
        <f>(T221-$D$13)/$E$13</f>
        <v/>
      </c>
      <c r="V221" s="18">
        <f>(H221-D221)*100</f>
        <v/>
      </c>
      <c r="W221" s="20">
        <f>(V221-$D$14)/$E$14</f>
        <v/>
      </c>
      <c r="X221" s="18">
        <f>(J221-H221)*100</f>
        <v/>
      </c>
      <c r="Y221" s="20">
        <f>(X221-$D$15)/$E$15</f>
        <v/>
      </c>
      <c r="Z221" s="18">
        <f>(J221-B221)*100</f>
        <v/>
      </c>
      <c r="AA221" s="20">
        <f>(Z221-$D$16)/$E$16</f>
        <v/>
      </c>
      <c r="AB221" s="18">
        <f>(2*F221-B221-H221)*100</f>
        <v/>
      </c>
      <c r="AC221" s="20">
        <f>(AB221-$D$17)/$E$17</f>
        <v/>
      </c>
      <c r="AD221" s="18">
        <f>L221-L222</f>
        <v/>
      </c>
      <c r="AE221" s="18">
        <f>N221-N222</f>
        <v/>
      </c>
      <c r="AF221" s="18">
        <f>P221-P222</f>
        <v/>
      </c>
      <c r="AG221" s="18">
        <f>R221-R222</f>
        <v/>
      </c>
      <c r="AH221" s="18">
        <f>T221-T222</f>
        <v/>
      </c>
      <c r="AI221" s="18">
        <f>V221-V222</f>
        <v/>
      </c>
      <c r="AJ221" s="18">
        <f>X221-X222</f>
        <v/>
      </c>
      <c r="AK221" s="18">
        <f>Z221-Z222</f>
        <v/>
      </c>
      <c r="AL221" s="18">
        <f>AB221-AB222</f>
        <v/>
      </c>
    </row>
    <row r="222">
      <c r="A222" s="16" t="n">
        <v>45981</v>
      </c>
      <c r="B222" s="17" t="n">
        <v>3.55</v>
      </c>
      <c r="C222" s="18">
        <f>(B222-B223)*100</f>
        <v/>
      </c>
      <c r="D222" s="17" t="n">
        <v>3.56</v>
      </c>
      <c r="E222" s="18">
        <f>(D222-D223)*100</f>
        <v/>
      </c>
      <c r="F222" s="17" t="n">
        <v>3.68</v>
      </c>
      <c r="G222" s="18">
        <f>(F222-F223)*100</f>
        <v/>
      </c>
      <c r="H222" s="17" t="n">
        <v>4.1</v>
      </c>
      <c r="I222" s="18">
        <f>(H222-H223)*100</f>
        <v/>
      </c>
      <c r="J222" s="17" t="n">
        <v>4.73</v>
      </c>
      <c r="K222" s="18">
        <f>(J222-J223)*100</f>
        <v/>
      </c>
      <c r="L222" s="18">
        <f>(F222-B222)*100</f>
        <v/>
      </c>
      <c r="M222" s="20">
        <f>(L222-$D$9)/$E$9</f>
        <v/>
      </c>
      <c r="N222" s="18">
        <f>(F222-D222)*100</f>
        <v/>
      </c>
      <c r="O222" s="20">
        <f>(N222-$D$10)/$E$10</f>
        <v/>
      </c>
      <c r="P222" s="18">
        <f>(H222-F222)*100</f>
        <v/>
      </c>
      <c r="Q222" s="20">
        <f>(P222-$D$11)/$E$11</f>
        <v/>
      </c>
      <c r="R222" s="18">
        <f>(J222-F222)*100</f>
        <v/>
      </c>
      <c r="S222" s="20">
        <f>(R222-$D$12)/$E$12</f>
        <v/>
      </c>
      <c r="T222" s="18">
        <f>(H222-B222)*100</f>
        <v/>
      </c>
      <c r="U222" s="20">
        <f>(T222-$D$13)/$E$13</f>
        <v/>
      </c>
      <c r="V222" s="18">
        <f>(H222-D222)*100</f>
        <v/>
      </c>
      <c r="W222" s="20">
        <f>(V222-$D$14)/$E$14</f>
        <v/>
      </c>
      <c r="X222" s="18">
        <f>(J222-H222)*100</f>
        <v/>
      </c>
      <c r="Y222" s="20">
        <f>(X222-$D$15)/$E$15</f>
        <v/>
      </c>
      <c r="Z222" s="18">
        <f>(J222-B222)*100</f>
        <v/>
      </c>
      <c r="AA222" s="20">
        <f>(Z222-$D$16)/$E$16</f>
        <v/>
      </c>
      <c r="AB222" s="18">
        <f>(2*F222-B222-H222)*100</f>
        <v/>
      </c>
      <c r="AC222" s="20">
        <f>(AB222-$D$17)/$E$17</f>
        <v/>
      </c>
      <c r="AD222" s="18">
        <f>L222-L223</f>
        <v/>
      </c>
      <c r="AE222" s="18">
        <f>N222-N223</f>
        <v/>
      </c>
      <c r="AF222" s="18">
        <f>P222-P223</f>
        <v/>
      </c>
      <c r="AG222" s="18">
        <f>R222-R223</f>
        <v/>
      </c>
      <c r="AH222" s="18">
        <f>T222-T223</f>
        <v/>
      </c>
      <c r="AI222" s="18">
        <f>V222-V223</f>
        <v/>
      </c>
      <c r="AJ222" s="18">
        <f>X222-X223</f>
        <v/>
      </c>
      <c r="AK222" s="18">
        <f>Z222-Z223</f>
        <v/>
      </c>
      <c r="AL222" s="18">
        <f>AB222-AB223</f>
        <v/>
      </c>
    </row>
    <row r="223">
      <c r="A223" s="16" t="n">
        <v>45980</v>
      </c>
      <c r="B223" s="17" t="n">
        <v>3.58</v>
      </c>
      <c r="C223" s="18">
        <f>(B223-B224)*100</f>
        <v/>
      </c>
      <c r="D223" s="17" t="n">
        <v>3.59</v>
      </c>
      <c r="E223" s="18">
        <f>(D223-D224)*100</f>
        <v/>
      </c>
      <c r="F223" s="17" t="n">
        <v>3.71</v>
      </c>
      <c r="G223" s="18">
        <f>(F223-F224)*100</f>
        <v/>
      </c>
      <c r="H223" s="17" t="n">
        <v>4.13</v>
      </c>
      <c r="I223" s="18">
        <f>(H223-H224)*100</f>
        <v/>
      </c>
      <c r="J223" s="17" t="n">
        <v>4.75</v>
      </c>
      <c r="K223" s="18">
        <f>(J223-J224)*100</f>
        <v/>
      </c>
      <c r="L223" s="18">
        <f>(F223-B223)*100</f>
        <v/>
      </c>
      <c r="M223" s="20">
        <f>(L223-$D$9)/$E$9</f>
        <v/>
      </c>
      <c r="N223" s="18">
        <f>(F223-D223)*100</f>
        <v/>
      </c>
      <c r="O223" s="20">
        <f>(N223-$D$10)/$E$10</f>
        <v/>
      </c>
      <c r="P223" s="18">
        <f>(H223-F223)*100</f>
        <v/>
      </c>
      <c r="Q223" s="20">
        <f>(P223-$D$11)/$E$11</f>
        <v/>
      </c>
      <c r="R223" s="18">
        <f>(J223-F223)*100</f>
        <v/>
      </c>
      <c r="S223" s="20">
        <f>(R223-$D$12)/$E$12</f>
        <v/>
      </c>
      <c r="T223" s="18">
        <f>(H223-B223)*100</f>
        <v/>
      </c>
      <c r="U223" s="20">
        <f>(T223-$D$13)/$E$13</f>
        <v/>
      </c>
      <c r="V223" s="18">
        <f>(H223-D223)*100</f>
        <v/>
      </c>
      <c r="W223" s="20">
        <f>(V223-$D$14)/$E$14</f>
        <v/>
      </c>
      <c r="X223" s="18">
        <f>(J223-H223)*100</f>
        <v/>
      </c>
      <c r="Y223" s="20">
        <f>(X223-$D$15)/$E$15</f>
        <v/>
      </c>
      <c r="Z223" s="18">
        <f>(J223-B223)*100</f>
        <v/>
      </c>
      <c r="AA223" s="20">
        <f>(Z223-$D$16)/$E$16</f>
        <v/>
      </c>
      <c r="AB223" s="18">
        <f>(2*F223-B223-H223)*100</f>
        <v/>
      </c>
      <c r="AC223" s="20">
        <f>(AB223-$D$17)/$E$17</f>
        <v/>
      </c>
      <c r="AD223" s="18">
        <f>L223-L224</f>
        <v/>
      </c>
      <c r="AE223" s="18">
        <f>N223-N224</f>
        <v/>
      </c>
      <c r="AF223" s="18">
        <f>P223-P224</f>
        <v/>
      </c>
      <c r="AG223" s="18">
        <f>R223-R224</f>
        <v/>
      </c>
      <c r="AH223" s="18">
        <f>T223-T224</f>
        <v/>
      </c>
      <c r="AI223" s="18">
        <f>V223-V224</f>
        <v/>
      </c>
      <c r="AJ223" s="18">
        <f>X223-X224</f>
        <v/>
      </c>
      <c r="AK223" s="18">
        <f>Z223-Z224</f>
        <v/>
      </c>
      <c r="AL223" s="18">
        <f>AB223-AB224</f>
        <v/>
      </c>
    </row>
    <row r="224">
      <c r="A224" s="16" t="n">
        <v>45979</v>
      </c>
      <c r="B224" s="17" t="n">
        <v>3.58</v>
      </c>
      <c r="C224" s="18">
        <f>(B224-B225)*100</f>
        <v/>
      </c>
      <c r="D224" s="17" t="n">
        <v>3.58</v>
      </c>
      <c r="E224" s="18">
        <f>(D224-D225)*100</f>
        <v/>
      </c>
      <c r="F224" s="17" t="n">
        <v>3.7</v>
      </c>
      <c r="G224" s="18">
        <f>(F224-F225)*100</f>
        <v/>
      </c>
      <c r="H224" s="17" t="n">
        <v>4.12</v>
      </c>
      <c r="I224" s="18">
        <f>(H224-H225)*100</f>
        <v/>
      </c>
      <c r="J224" s="17" t="n">
        <v>4.74</v>
      </c>
      <c r="K224" s="18">
        <f>(J224-J225)*100</f>
        <v/>
      </c>
      <c r="L224" s="18">
        <f>(F224-B224)*100</f>
        <v/>
      </c>
      <c r="M224" s="20">
        <f>(L224-$D$9)/$E$9</f>
        <v/>
      </c>
      <c r="N224" s="18">
        <f>(F224-D224)*100</f>
        <v/>
      </c>
      <c r="O224" s="20">
        <f>(N224-$D$10)/$E$10</f>
        <v/>
      </c>
      <c r="P224" s="18">
        <f>(H224-F224)*100</f>
        <v/>
      </c>
      <c r="Q224" s="20">
        <f>(P224-$D$11)/$E$11</f>
        <v/>
      </c>
      <c r="R224" s="18">
        <f>(J224-F224)*100</f>
        <v/>
      </c>
      <c r="S224" s="20">
        <f>(R224-$D$12)/$E$12</f>
        <v/>
      </c>
      <c r="T224" s="18">
        <f>(H224-B224)*100</f>
        <v/>
      </c>
      <c r="U224" s="20">
        <f>(T224-$D$13)/$E$13</f>
        <v/>
      </c>
      <c r="V224" s="18">
        <f>(H224-D224)*100</f>
        <v/>
      </c>
      <c r="W224" s="20">
        <f>(V224-$D$14)/$E$14</f>
        <v/>
      </c>
      <c r="X224" s="18">
        <f>(J224-H224)*100</f>
        <v/>
      </c>
      <c r="Y224" s="20">
        <f>(X224-$D$15)/$E$15</f>
        <v/>
      </c>
      <c r="Z224" s="18">
        <f>(J224-B224)*100</f>
        <v/>
      </c>
      <c r="AA224" s="20">
        <f>(Z224-$D$16)/$E$16</f>
        <v/>
      </c>
      <c r="AB224" s="18">
        <f>(2*F224-B224-H224)*100</f>
        <v/>
      </c>
      <c r="AC224" s="20">
        <f>(AB224-$D$17)/$E$17</f>
        <v/>
      </c>
      <c r="AD224" s="18">
        <f>L224-L225</f>
        <v/>
      </c>
      <c r="AE224" s="18">
        <f>N224-N225</f>
        <v/>
      </c>
      <c r="AF224" s="18">
        <f>P224-P225</f>
        <v/>
      </c>
      <c r="AG224" s="18">
        <f>R224-R225</f>
        <v/>
      </c>
      <c r="AH224" s="18">
        <f>T224-T225</f>
        <v/>
      </c>
      <c r="AI224" s="18">
        <f>V224-V225</f>
        <v/>
      </c>
      <c r="AJ224" s="18">
        <f>X224-X225</f>
        <v/>
      </c>
      <c r="AK224" s="18">
        <f>Z224-Z225</f>
        <v/>
      </c>
      <c r="AL224" s="18">
        <f>AB224-AB225</f>
        <v/>
      </c>
    </row>
    <row r="225">
      <c r="A225" s="16" t="n">
        <v>45978</v>
      </c>
      <c r="B225" s="17" t="n">
        <v>3.6</v>
      </c>
      <c r="C225" s="18">
        <f>(B225-B226)*100</f>
        <v/>
      </c>
      <c r="D225" s="17" t="n">
        <v>3.6</v>
      </c>
      <c r="E225" s="18">
        <f>(D225-D226)*100</f>
        <v/>
      </c>
      <c r="F225" s="17" t="n">
        <v>3.72</v>
      </c>
      <c r="G225" s="18">
        <f>(F225-F226)*100</f>
        <v/>
      </c>
      <c r="H225" s="17" t="n">
        <v>4.13</v>
      </c>
      <c r="I225" s="18">
        <f>(H225-H226)*100</f>
        <v/>
      </c>
      <c r="J225" s="17" t="n">
        <v>4.73</v>
      </c>
      <c r="K225" s="18">
        <f>(J225-J226)*100</f>
        <v/>
      </c>
      <c r="L225" s="18">
        <f>(F225-B225)*100</f>
        <v/>
      </c>
      <c r="M225" s="20">
        <f>(L225-$D$9)/$E$9</f>
        <v/>
      </c>
      <c r="N225" s="18">
        <f>(F225-D225)*100</f>
        <v/>
      </c>
      <c r="O225" s="20">
        <f>(N225-$D$10)/$E$10</f>
        <v/>
      </c>
      <c r="P225" s="18">
        <f>(H225-F225)*100</f>
        <v/>
      </c>
      <c r="Q225" s="20">
        <f>(P225-$D$11)/$E$11</f>
        <v/>
      </c>
      <c r="R225" s="18">
        <f>(J225-F225)*100</f>
        <v/>
      </c>
      <c r="S225" s="20">
        <f>(R225-$D$12)/$E$12</f>
        <v/>
      </c>
      <c r="T225" s="18">
        <f>(H225-B225)*100</f>
        <v/>
      </c>
      <c r="U225" s="20">
        <f>(T225-$D$13)/$E$13</f>
        <v/>
      </c>
      <c r="V225" s="18">
        <f>(H225-D225)*100</f>
        <v/>
      </c>
      <c r="W225" s="20">
        <f>(V225-$D$14)/$E$14</f>
        <v/>
      </c>
      <c r="X225" s="18">
        <f>(J225-H225)*100</f>
        <v/>
      </c>
      <c r="Y225" s="20">
        <f>(X225-$D$15)/$E$15</f>
        <v/>
      </c>
      <c r="Z225" s="18">
        <f>(J225-B225)*100</f>
        <v/>
      </c>
      <c r="AA225" s="20">
        <f>(Z225-$D$16)/$E$16</f>
        <v/>
      </c>
      <c r="AB225" s="18">
        <f>(2*F225-B225-H225)*100</f>
        <v/>
      </c>
      <c r="AC225" s="20">
        <f>(AB225-$D$17)/$E$17</f>
        <v/>
      </c>
      <c r="AD225" s="18">
        <f>L225-L226</f>
        <v/>
      </c>
      <c r="AE225" s="18">
        <f>N225-N226</f>
        <v/>
      </c>
      <c r="AF225" s="18">
        <f>P225-P226</f>
        <v/>
      </c>
      <c r="AG225" s="18">
        <f>R225-R226</f>
        <v/>
      </c>
      <c r="AH225" s="18">
        <f>T225-T226</f>
        <v/>
      </c>
      <c r="AI225" s="18">
        <f>V225-V226</f>
        <v/>
      </c>
      <c r="AJ225" s="18">
        <f>X225-X226</f>
        <v/>
      </c>
      <c r="AK225" s="18">
        <f>Z225-Z226</f>
        <v/>
      </c>
      <c r="AL225" s="18">
        <f>AB225-AB226</f>
        <v/>
      </c>
    </row>
    <row r="226">
      <c r="A226" s="16" t="n">
        <v>45975</v>
      </c>
      <c r="B226" s="17" t="n">
        <v>3.62</v>
      </c>
      <c r="C226" s="18">
        <f>(B226-B227)*100</f>
        <v/>
      </c>
      <c r="D226" s="17" t="n">
        <v>3.61</v>
      </c>
      <c r="E226" s="18">
        <f>(D226-D227)*100</f>
        <v/>
      </c>
      <c r="F226" s="17" t="n">
        <v>3.74</v>
      </c>
      <c r="G226" s="18">
        <f>(F226-F227)*100</f>
        <v/>
      </c>
      <c r="H226" s="17" t="n">
        <v>4.14</v>
      </c>
      <c r="I226" s="18">
        <f>(H226-H227)*100</f>
        <v/>
      </c>
      <c r="J226" s="17" t="n">
        <v>4.74</v>
      </c>
      <c r="K226" s="18">
        <f>(J226-J227)*100</f>
        <v/>
      </c>
      <c r="L226" s="18">
        <f>(F226-B226)*100</f>
        <v/>
      </c>
      <c r="M226" s="20">
        <f>(L226-$D$9)/$E$9</f>
        <v/>
      </c>
      <c r="N226" s="18">
        <f>(F226-D226)*100</f>
        <v/>
      </c>
      <c r="O226" s="20">
        <f>(N226-$D$10)/$E$10</f>
        <v/>
      </c>
      <c r="P226" s="18">
        <f>(H226-F226)*100</f>
        <v/>
      </c>
      <c r="Q226" s="20">
        <f>(P226-$D$11)/$E$11</f>
        <v/>
      </c>
      <c r="R226" s="18">
        <f>(J226-F226)*100</f>
        <v/>
      </c>
      <c r="S226" s="20">
        <f>(R226-$D$12)/$E$12</f>
        <v/>
      </c>
      <c r="T226" s="18">
        <f>(H226-B226)*100</f>
        <v/>
      </c>
      <c r="U226" s="20">
        <f>(T226-$D$13)/$E$13</f>
        <v/>
      </c>
      <c r="V226" s="18">
        <f>(H226-D226)*100</f>
        <v/>
      </c>
      <c r="W226" s="20">
        <f>(V226-$D$14)/$E$14</f>
        <v/>
      </c>
      <c r="X226" s="18">
        <f>(J226-H226)*100</f>
        <v/>
      </c>
      <c r="Y226" s="20">
        <f>(X226-$D$15)/$E$15</f>
        <v/>
      </c>
      <c r="Z226" s="18">
        <f>(J226-B226)*100</f>
        <v/>
      </c>
      <c r="AA226" s="20">
        <f>(Z226-$D$16)/$E$16</f>
        <v/>
      </c>
      <c r="AB226" s="18">
        <f>(2*F226-B226-H226)*100</f>
        <v/>
      </c>
      <c r="AC226" s="20">
        <f>(AB226-$D$17)/$E$17</f>
        <v/>
      </c>
      <c r="AD226" s="18">
        <f>L226-L227</f>
        <v/>
      </c>
      <c r="AE226" s="18">
        <f>N226-N227</f>
        <v/>
      </c>
      <c r="AF226" s="18">
        <f>P226-P227</f>
        <v/>
      </c>
      <c r="AG226" s="18">
        <f>R226-R227</f>
        <v/>
      </c>
      <c r="AH226" s="18">
        <f>T226-T227</f>
        <v/>
      </c>
      <c r="AI226" s="18">
        <f>V226-V227</f>
        <v/>
      </c>
      <c r="AJ226" s="18">
        <f>X226-X227</f>
        <v/>
      </c>
      <c r="AK226" s="18">
        <f>Z226-Z227</f>
        <v/>
      </c>
      <c r="AL226" s="18">
        <f>AB226-AB227</f>
        <v/>
      </c>
    </row>
    <row r="227">
      <c r="A227" s="16" t="n">
        <v>45974</v>
      </c>
      <c r="B227" s="17" t="n">
        <v>3.58</v>
      </c>
      <c r="C227" s="18">
        <f>(B227-B228)*100</f>
        <v/>
      </c>
      <c r="D227" s="17" t="n">
        <v>3.57</v>
      </c>
      <c r="E227" s="18">
        <f>(D227-D228)*100</f>
        <v/>
      </c>
      <c r="F227" s="17" t="n">
        <v>3.71</v>
      </c>
      <c r="G227" s="18">
        <f>(F227-F228)*100</f>
        <v/>
      </c>
      <c r="H227" s="17" t="n">
        <v>4.11</v>
      </c>
      <c r="I227" s="18">
        <f>(H227-H228)*100</f>
        <v/>
      </c>
      <c r="J227" s="17" t="n">
        <v>4.7</v>
      </c>
      <c r="K227" s="18">
        <f>(J227-J228)*100</f>
        <v/>
      </c>
      <c r="L227" s="18">
        <f>(F227-B227)*100</f>
        <v/>
      </c>
      <c r="M227" s="20">
        <f>(L227-$D$9)/$E$9</f>
        <v/>
      </c>
      <c r="N227" s="18">
        <f>(F227-D227)*100</f>
        <v/>
      </c>
      <c r="O227" s="20">
        <f>(N227-$D$10)/$E$10</f>
        <v/>
      </c>
      <c r="P227" s="18">
        <f>(H227-F227)*100</f>
        <v/>
      </c>
      <c r="Q227" s="20">
        <f>(P227-$D$11)/$E$11</f>
        <v/>
      </c>
      <c r="R227" s="18">
        <f>(J227-F227)*100</f>
        <v/>
      </c>
      <c r="S227" s="20">
        <f>(R227-$D$12)/$E$12</f>
        <v/>
      </c>
      <c r="T227" s="18">
        <f>(H227-B227)*100</f>
        <v/>
      </c>
      <c r="U227" s="20">
        <f>(T227-$D$13)/$E$13</f>
        <v/>
      </c>
      <c r="V227" s="18">
        <f>(H227-D227)*100</f>
        <v/>
      </c>
      <c r="W227" s="20">
        <f>(V227-$D$14)/$E$14</f>
        <v/>
      </c>
      <c r="X227" s="18">
        <f>(J227-H227)*100</f>
        <v/>
      </c>
      <c r="Y227" s="20">
        <f>(X227-$D$15)/$E$15</f>
        <v/>
      </c>
      <c r="Z227" s="18">
        <f>(J227-B227)*100</f>
        <v/>
      </c>
      <c r="AA227" s="20">
        <f>(Z227-$D$16)/$E$16</f>
        <v/>
      </c>
      <c r="AB227" s="18">
        <f>(2*F227-B227-H227)*100</f>
        <v/>
      </c>
      <c r="AC227" s="20">
        <f>(AB227-$D$17)/$E$17</f>
        <v/>
      </c>
      <c r="AD227" s="18">
        <f>L227-L228</f>
        <v/>
      </c>
      <c r="AE227" s="18">
        <f>N227-N228</f>
        <v/>
      </c>
      <c r="AF227" s="18">
        <f>P227-P228</f>
        <v/>
      </c>
      <c r="AG227" s="18">
        <f>R227-R228</f>
        <v/>
      </c>
      <c r="AH227" s="18">
        <f>T227-T228</f>
        <v/>
      </c>
      <c r="AI227" s="18">
        <f>V227-V228</f>
        <v/>
      </c>
      <c r="AJ227" s="18">
        <f>X227-X228</f>
        <v/>
      </c>
      <c r="AK227" s="18">
        <f>Z227-Z228</f>
        <v/>
      </c>
      <c r="AL227" s="18">
        <f>AB227-AB228</f>
        <v/>
      </c>
    </row>
    <row r="228">
      <c r="A228" s="16" t="n">
        <v>45973</v>
      </c>
      <c r="B228" s="17" t="n">
        <v>3.56</v>
      </c>
      <c r="C228" s="18">
        <f>(B228-B229)*100</f>
        <v/>
      </c>
      <c r="D228" s="17" t="n">
        <v>3.55</v>
      </c>
      <c r="E228" s="18">
        <f>(D228-D229)*100</f>
        <v/>
      </c>
      <c r="F228" s="17" t="n">
        <v>3.68</v>
      </c>
      <c r="G228" s="18">
        <f>(F228-F229)*100</f>
        <v/>
      </c>
      <c r="H228" s="17" t="n">
        <v>4.08</v>
      </c>
      <c r="I228" s="18">
        <f>(H228-H229)*100</f>
        <v/>
      </c>
      <c r="J228" s="17" t="n">
        <v>4.67</v>
      </c>
      <c r="K228" s="18">
        <f>(J228-J229)*100</f>
        <v/>
      </c>
      <c r="L228" s="18">
        <f>(F228-B228)*100</f>
        <v/>
      </c>
      <c r="M228" s="20">
        <f>(L228-$D$9)/$E$9</f>
        <v/>
      </c>
      <c r="N228" s="18">
        <f>(F228-D228)*100</f>
        <v/>
      </c>
      <c r="O228" s="20">
        <f>(N228-$D$10)/$E$10</f>
        <v/>
      </c>
      <c r="P228" s="18">
        <f>(H228-F228)*100</f>
        <v/>
      </c>
      <c r="Q228" s="20">
        <f>(P228-$D$11)/$E$11</f>
        <v/>
      </c>
      <c r="R228" s="18">
        <f>(J228-F228)*100</f>
        <v/>
      </c>
      <c r="S228" s="20">
        <f>(R228-$D$12)/$E$12</f>
        <v/>
      </c>
      <c r="T228" s="18">
        <f>(H228-B228)*100</f>
        <v/>
      </c>
      <c r="U228" s="20">
        <f>(T228-$D$13)/$E$13</f>
        <v/>
      </c>
      <c r="V228" s="18">
        <f>(H228-D228)*100</f>
        <v/>
      </c>
      <c r="W228" s="20">
        <f>(V228-$D$14)/$E$14</f>
        <v/>
      </c>
      <c r="X228" s="18">
        <f>(J228-H228)*100</f>
        <v/>
      </c>
      <c r="Y228" s="20">
        <f>(X228-$D$15)/$E$15</f>
        <v/>
      </c>
      <c r="Z228" s="18">
        <f>(J228-B228)*100</f>
        <v/>
      </c>
      <c r="AA228" s="20">
        <f>(Z228-$D$16)/$E$16</f>
        <v/>
      </c>
      <c r="AB228" s="18">
        <f>(2*F228-B228-H228)*100</f>
        <v/>
      </c>
      <c r="AC228" s="20">
        <f>(AB228-$D$17)/$E$17</f>
        <v/>
      </c>
      <c r="AD228" s="18">
        <f>L228-L229</f>
        <v/>
      </c>
      <c r="AE228" s="18">
        <f>N228-N229</f>
        <v/>
      </c>
      <c r="AF228" s="18">
        <f>P228-P229</f>
        <v/>
      </c>
      <c r="AG228" s="18">
        <f>R228-R229</f>
        <v/>
      </c>
      <c r="AH228" s="18">
        <f>T228-T229</f>
        <v/>
      </c>
      <c r="AI228" s="18">
        <f>V228-V229</f>
        <v/>
      </c>
      <c r="AJ228" s="18">
        <f>X228-X229</f>
        <v/>
      </c>
      <c r="AK228" s="18">
        <f>Z228-Z229</f>
        <v/>
      </c>
      <c r="AL228" s="18">
        <f>AB228-AB229</f>
        <v/>
      </c>
    </row>
    <row r="229">
      <c r="A229" s="16" t="n">
        <v>45971</v>
      </c>
      <c r="B229" s="17" t="n">
        <v>3.58</v>
      </c>
      <c r="C229" s="18">
        <f>(B229-B230)*100</f>
        <v/>
      </c>
      <c r="D229" s="17" t="n">
        <v>3.56</v>
      </c>
      <c r="E229" s="18">
        <f>(D229-D230)*100</f>
        <v/>
      </c>
      <c r="F229" s="17" t="n">
        <v>3.72</v>
      </c>
      <c r="G229" s="18">
        <f>(F229-F230)*100</f>
        <v/>
      </c>
      <c r="H229" s="17" t="n">
        <v>4.13</v>
      </c>
      <c r="I229" s="18">
        <f>(H229-H230)*100</f>
        <v/>
      </c>
      <c r="J229" s="17" t="n">
        <v>4.71</v>
      </c>
      <c r="K229" s="18">
        <f>(J229-J230)*100</f>
        <v/>
      </c>
      <c r="L229" s="18">
        <f>(F229-B229)*100</f>
        <v/>
      </c>
      <c r="M229" s="20">
        <f>(L229-$D$9)/$E$9</f>
        <v/>
      </c>
      <c r="N229" s="18">
        <f>(F229-D229)*100</f>
        <v/>
      </c>
      <c r="O229" s="20">
        <f>(N229-$D$10)/$E$10</f>
        <v/>
      </c>
      <c r="P229" s="18">
        <f>(H229-F229)*100</f>
        <v/>
      </c>
      <c r="Q229" s="20">
        <f>(P229-$D$11)/$E$11</f>
        <v/>
      </c>
      <c r="R229" s="18">
        <f>(J229-F229)*100</f>
        <v/>
      </c>
      <c r="S229" s="20">
        <f>(R229-$D$12)/$E$12</f>
        <v/>
      </c>
      <c r="T229" s="18">
        <f>(H229-B229)*100</f>
        <v/>
      </c>
      <c r="U229" s="20">
        <f>(T229-$D$13)/$E$13</f>
        <v/>
      </c>
      <c r="V229" s="18">
        <f>(H229-D229)*100</f>
        <v/>
      </c>
      <c r="W229" s="20">
        <f>(V229-$D$14)/$E$14</f>
        <v/>
      </c>
      <c r="X229" s="18">
        <f>(J229-H229)*100</f>
        <v/>
      </c>
      <c r="Y229" s="20">
        <f>(X229-$D$15)/$E$15</f>
        <v/>
      </c>
      <c r="Z229" s="18">
        <f>(J229-B229)*100</f>
        <v/>
      </c>
      <c r="AA229" s="20">
        <f>(Z229-$D$16)/$E$16</f>
        <v/>
      </c>
      <c r="AB229" s="18">
        <f>(2*F229-B229-H229)*100</f>
        <v/>
      </c>
      <c r="AC229" s="20">
        <f>(AB229-$D$17)/$E$17</f>
        <v/>
      </c>
      <c r="AD229" s="18">
        <f>L229-L230</f>
        <v/>
      </c>
      <c r="AE229" s="18">
        <f>N229-N230</f>
        <v/>
      </c>
      <c r="AF229" s="18">
        <f>P229-P230</f>
        <v/>
      </c>
      <c r="AG229" s="18">
        <f>R229-R230</f>
        <v/>
      </c>
      <c r="AH229" s="18">
        <f>T229-T230</f>
        <v/>
      </c>
      <c r="AI229" s="18">
        <f>V229-V230</f>
        <v/>
      </c>
      <c r="AJ229" s="18">
        <f>X229-X230</f>
        <v/>
      </c>
      <c r="AK229" s="18">
        <f>Z229-Z230</f>
        <v/>
      </c>
      <c r="AL229" s="18">
        <f>AB229-AB230</f>
        <v/>
      </c>
    </row>
    <row r="230">
      <c r="A230" s="16" t="n">
        <v>45968</v>
      </c>
      <c r="B230" s="17" t="n">
        <v>3.55</v>
      </c>
      <c r="C230" s="18">
        <f>(B230-B231)*100</f>
        <v/>
      </c>
      <c r="D230" s="17" t="n">
        <v>3.57</v>
      </c>
      <c r="E230" s="18">
        <f>(D230-D231)*100</f>
        <v/>
      </c>
      <c r="F230" s="17" t="n">
        <v>3.67</v>
      </c>
      <c r="G230" s="18">
        <f>(F230-F231)*100</f>
        <v/>
      </c>
      <c r="H230" s="17" t="n">
        <v>4.11</v>
      </c>
      <c r="I230" s="18">
        <f>(H230-H231)*100</f>
        <v/>
      </c>
      <c r="J230" s="17" t="n">
        <v>4.7</v>
      </c>
      <c r="K230" s="18">
        <f>(J230-J231)*100</f>
        <v/>
      </c>
      <c r="L230" s="18">
        <f>(F230-B230)*100</f>
        <v/>
      </c>
      <c r="M230" s="20">
        <f>(L230-$D$9)/$E$9</f>
        <v/>
      </c>
      <c r="N230" s="18">
        <f>(F230-D230)*100</f>
        <v/>
      </c>
      <c r="O230" s="20">
        <f>(N230-$D$10)/$E$10</f>
        <v/>
      </c>
      <c r="P230" s="18">
        <f>(H230-F230)*100</f>
        <v/>
      </c>
      <c r="Q230" s="20">
        <f>(P230-$D$11)/$E$11</f>
        <v/>
      </c>
      <c r="R230" s="18">
        <f>(J230-F230)*100</f>
        <v/>
      </c>
      <c r="S230" s="20">
        <f>(R230-$D$12)/$E$12</f>
        <v/>
      </c>
      <c r="T230" s="18">
        <f>(H230-B230)*100</f>
        <v/>
      </c>
      <c r="U230" s="20">
        <f>(T230-$D$13)/$E$13</f>
        <v/>
      </c>
      <c r="V230" s="18">
        <f>(H230-D230)*100</f>
        <v/>
      </c>
      <c r="W230" s="20">
        <f>(V230-$D$14)/$E$14</f>
        <v/>
      </c>
      <c r="X230" s="18">
        <f>(J230-H230)*100</f>
        <v/>
      </c>
      <c r="Y230" s="20">
        <f>(X230-$D$15)/$E$15</f>
        <v/>
      </c>
      <c r="Z230" s="18">
        <f>(J230-B230)*100</f>
        <v/>
      </c>
      <c r="AA230" s="20">
        <f>(Z230-$D$16)/$E$16</f>
        <v/>
      </c>
      <c r="AB230" s="18">
        <f>(2*F230-B230-H230)*100</f>
        <v/>
      </c>
      <c r="AC230" s="20">
        <f>(AB230-$D$17)/$E$17</f>
        <v/>
      </c>
      <c r="AD230" s="18">
        <f>L230-L231</f>
        <v/>
      </c>
      <c r="AE230" s="18">
        <f>N230-N231</f>
        <v/>
      </c>
      <c r="AF230" s="18">
        <f>P230-P231</f>
        <v/>
      </c>
      <c r="AG230" s="18">
        <f>R230-R231</f>
        <v/>
      </c>
      <c r="AH230" s="18">
        <f>T230-T231</f>
        <v/>
      </c>
      <c r="AI230" s="18">
        <f>V230-V231</f>
        <v/>
      </c>
      <c r="AJ230" s="18">
        <f>X230-X231</f>
        <v/>
      </c>
      <c r="AK230" s="18">
        <f>Z230-Z231</f>
        <v/>
      </c>
      <c r="AL230" s="18">
        <f>AB230-AB231</f>
        <v/>
      </c>
    </row>
    <row r="231">
      <c r="A231" s="16" t="n">
        <v>45967</v>
      </c>
      <c r="B231" s="17" t="n">
        <v>3.57</v>
      </c>
      <c r="C231" s="18">
        <f>(B231-B232)*100</f>
        <v/>
      </c>
      <c r="D231" s="17" t="n">
        <v>3.58</v>
      </c>
      <c r="E231" s="18">
        <f>(D231-D232)*100</f>
        <v/>
      </c>
      <c r="F231" s="17" t="n">
        <v>3.69</v>
      </c>
      <c r="G231" s="18">
        <f>(F231-F232)*100</f>
        <v/>
      </c>
      <c r="H231" s="17" t="n">
        <v>4.11</v>
      </c>
      <c r="I231" s="18">
        <f>(H231-H232)*100</f>
        <v/>
      </c>
      <c r="J231" s="17" t="n">
        <v>4.69</v>
      </c>
      <c r="K231" s="18">
        <f>(J231-J232)*100</f>
        <v/>
      </c>
      <c r="L231" s="18">
        <f>(F231-B231)*100</f>
        <v/>
      </c>
      <c r="M231" s="20">
        <f>(L231-$D$9)/$E$9</f>
        <v/>
      </c>
      <c r="N231" s="18">
        <f>(F231-D231)*100</f>
        <v/>
      </c>
      <c r="O231" s="20">
        <f>(N231-$D$10)/$E$10</f>
        <v/>
      </c>
      <c r="P231" s="18">
        <f>(H231-F231)*100</f>
        <v/>
      </c>
      <c r="Q231" s="20">
        <f>(P231-$D$11)/$E$11</f>
        <v/>
      </c>
      <c r="R231" s="18">
        <f>(J231-F231)*100</f>
        <v/>
      </c>
      <c r="S231" s="20">
        <f>(R231-$D$12)/$E$12</f>
        <v/>
      </c>
      <c r="T231" s="18">
        <f>(H231-B231)*100</f>
        <v/>
      </c>
      <c r="U231" s="20">
        <f>(T231-$D$13)/$E$13</f>
        <v/>
      </c>
      <c r="V231" s="18">
        <f>(H231-D231)*100</f>
        <v/>
      </c>
      <c r="W231" s="20">
        <f>(V231-$D$14)/$E$14</f>
        <v/>
      </c>
      <c r="X231" s="18">
        <f>(J231-H231)*100</f>
        <v/>
      </c>
      <c r="Y231" s="20">
        <f>(X231-$D$15)/$E$15</f>
        <v/>
      </c>
      <c r="Z231" s="18">
        <f>(J231-B231)*100</f>
        <v/>
      </c>
      <c r="AA231" s="20">
        <f>(Z231-$D$16)/$E$16</f>
        <v/>
      </c>
      <c r="AB231" s="18">
        <f>(2*F231-B231-H231)*100</f>
        <v/>
      </c>
      <c r="AC231" s="20">
        <f>(AB231-$D$17)/$E$17</f>
        <v/>
      </c>
      <c r="AD231" s="18">
        <f>L231-L232</f>
        <v/>
      </c>
      <c r="AE231" s="18">
        <f>N231-N232</f>
        <v/>
      </c>
      <c r="AF231" s="18">
        <f>P231-P232</f>
        <v/>
      </c>
      <c r="AG231" s="18">
        <f>R231-R232</f>
        <v/>
      </c>
      <c r="AH231" s="18">
        <f>T231-T232</f>
        <v/>
      </c>
      <c r="AI231" s="18">
        <f>V231-V232</f>
        <v/>
      </c>
      <c r="AJ231" s="18">
        <f>X231-X232</f>
        <v/>
      </c>
      <c r="AK231" s="18">
        <f>Z231-Z232</f>
        <v/>
      </c>
      <c r="AL231" s="18">
        <f>AB231-AB232</f>
        <v/>
      </c>
    </row>
    <row r="232">
      <c r="A232" s="16" t="n">
        <v>45966</v>
      </c>
      <c r="B232" s="17" t="n">
        <v>3.63</v>
      </c>
      <c r="C232" s="18">
        <f>(B232-B233)*100</f>
        <v/>
      </c>
      <c r="D232" s="17" t="n">
        <v>3.65</v>
      </c>
      <c r="E232" s="18">
        <f>(D232-D233)*100</f>
        <v/>
      </c>
      <c r="F232" s="17" t="n">
        <v>3.76</v>
      </c>
      <c r="G232" s="18">
        <f>(F232-F233)*100</f>
        <v/>
      </c>
      <c r="H232" s="17" t="n">
        <v>4.17</v>
      </c>
      <c r="I232" s="18">
        <f>(H232-H233)*100</f>
        <v/>
      </c>
      <c r="J232" s="17" t="n">
        <v>4.74</v>
      </c>
      <c r="K232" s="18">
        <f>(J232-J233)*100</f>
        <v/>
      </c>
      <c r="L232" s="18">
        <f>(F232-B232)*100</f>
        <v/>
      </c>
      <c r="M232" s="20">
        <f>(L232-$D$9)/$E$9</f>
        <v/>
      </c>
      <c r="N232" s="18">
        <f>(F232-D232)*100</f>
        <v/>
      </c>
      <c r="O232" s="20">
        <f>(N232-$D$10)/$E$10</f>
        <v/>
      </c>
      <c r="P232" s="18">
        <f>(H232-F232)*100</f>
        <v/>
      </c>
      <c r="Q232" s="20">
        <f>(P232-$D$11)/$E$11</f>
        <v/>
      </c>
      <c r="R232" s="18">
        <f>(J232-F232)*100</f>
        <v/>
      </c>
      <c r="S232" s="20">
        <f>(R232-$D$12)/$E$12</f>
        <v/>
      </c>
      <c r="T232" s="18">
        <f>(H232-B232)*100</f>
        <v/>
      </c>
      <c r="U232" s="20">
        <f>(T232-$D$13)/$E$13</f>
        <v/>
      </c>
      <c r="V232" s="18">
        <f>(H232-D232)*100</f>
        <v/>
      </c>
      <c r="W232" s="20">
        <f>(V232-$D$14)/$E$14</f>
        <v/>
      </c>
      <c r="X232" s="18">
        <f>(J232-H232)*100</f>
        <v/>
      </c>
      <c r="Y232" s="20">
        <f>(X232-$D$15)/$E$15</f>
        <v/>
      </c>
      <c r="Z232" s="18">
        <f>(J232-B232)*100</f>
        <v/>
      </c>
      <c r="AA232" s="20">
        <f>(Z232-$D$16)/$E$16</f>
        <v/>
      </c>
      <c r="AB232" s="18">
        <f>(2*F232-B232-H232)*100</f>
        <v/>
      </c>
      <c r="AC232" s="20">
        <f>(AB232-$D$17)/$E$17</f>
        <v/>
      </c>
      <c r="AD232" s="18">
        <f>L232-L233</f>
        <v/>
      </c>
      <c r="AE232" s="18">
        <f>N232-N233</f>
        <v/>
      </c>
      <c r="AF232" s="18">
        <f>P232-P233</f>
        <v/>
      </c>
      <c r="AG232" s="18">
        <f>R232-R233</f>
        <v/>
      </c>
      <c r="AH232" s="18">
        <f>T232-T233</f>
        <v/>
      </c>
      <c r="AI232" s="18">
        <f>V232-V233</f>
        <v/>
      </c>
      <c r="AJ232" s="18">
        <f>X232-X233</f>
        <v/>
      </c>
      <c r="AK232" s="18">
        <f>Z232-Z233</f>
        <v/>
      </c>
      <c r="AL232" s="18">
        <f>AB232-AB233</f>
        <v/>
      </c>
    </row>
    <row r="233">
      <c r="A233" s="16" t="n">
        <v>45965</v>
      </c>
      <c r="B233" s="17" t="n">
        <v>3.58</v>
      </c>
      <c r="C233" s="18">
        <f>(B233-B234)*100</f>
        <v/>
      </c>
      <c r="D233" s="17" t="n">
        <v>3.59</v>
      </c>
      <c r="E233" s="18">
        <f>(D233-D234)*100</f>
        <v/>
      </c>
      <c r="F233" s="17" t="n">
        <v>3.69</v>
      </c>
      <c r="G233" s="18">
        <f>(F233-F234)*100</f>
        <v/>
      </c>
      <c r="H233" s="17" t="n">
        <v>4.1</v>
      </c>
      <c r="I233" s="18">
        <f>(H233-H234)*100</f>
        <v/>
      </c>
      <c r="J233" s="17" t="n">
        <v>4.67</v>
      </c>
      <c r="K233" s="18">
        <f>(J233-J234)*100</f>
        <v/>
      </c>
      <c r="L233" s="18">
        <f>(F233-B233)*100</f>
        <v/>
      </c>
      <c r="M233" s="20">
        <f>(L233-$D$9)/$E$9</f>
        <v/>
      </c>
      <c r="N233" s="18">
        <f>(F233-D233)*100</f>
        <v/>
      </c>
      <c r="O233" s="20">
        <f>(N233-$D$10)/$E$10</f>
        <v/>
      </c>
      <c r="P233" s="18">
        <f>(H233-F233)*100</f>
        <v/>
      </c>
      <c r="Q233" s="20">
        <f>(P233-$D$11)/$E$11</f>
        <v/>
      </c>
      <c r="R233" s="18">
        <f>(J233-F233)*100</f>
        <v/>
      </c>
      <c r="S233" s="20">
        <f>(R233-$D$12)/$E$12</f>
        <v/>
      </c>
      <c r="T233" s="18">
        <f>(H233-B233)*100</f>
        <v/>
      </c>
      <c r="U233" s="20">
        <f>(T233-$D$13)/$E$13</f>
        <v/>
      </c>
      <c r="V233" s="18">
        <f>(H233-D233)*100</f>
        <v/>
      </c>
      <c r="W233" s="20">
        <f>(V233-$D$14)/$E$14</f>
        <v/>
      </c>
      <c r="X233" s="18">
        <f>(J233-H233)*100</f>
        <v/>
      </c>
      <c r="Y233" s="20">
        <f>(X233-$D$15)/$E$15</f>
        <v/>
      </c>
      <c r="Z233" s="18">
        <f>(J233-B233)*100</f>
        <v/>
      </c>
      <c r="AA233" s="20">
        <f>(Z233-$D$16)/$E$16</f>
        <v/>
      </c>
      <c r="AB233" s="18">
        <f>(2*F233-B233-H233)*100</f>
        <v/>
      </c>
      <c r="AC233" s="20">
        <f>(AB233-$D$17)/$E$17</f>
        <v/>
      </c>
      <c r="AD233" s="18">
        <f>L233-L234</f>
        <v/>
      </c>
      <c r="AE233" s="18">
        <f>N233-N234</f>
        <v/>
      </c>
      <c r="AF233" s="18">
        <f>P233-P234</f>
        <v/>
      </c>
      <c r="AG233" s="18">
        <f>R233-R234</f>
        <v/>
      </c>
      <c r="AH233" s="18">
        <f>T233-T234</f>
        <v/>
      </c>
      <c r="AI233" s="18">
        <f>V233-V234</f>
        <v/>
      </c>
      <c r="AJ233" s="18">
        <f>X233-X234</f>
        <v/>
      </c>
      <c r="AK233" s="18">
        <f>Z233-Z234</f>
        <v/>
      </c>
      <c r="AL233" s="18">
        <f>AB233-AB234</f>
        <v/>
      </c>
    </row>
    <row r="234">
      <c r="A234" s="16" t="n">
        <v>45964</v>
      </c>
      <c r="B234" s="17" t="n">
        <v>3.6</v>
      </c>
      <c r="C234" s="18">
        <f>(B234-B235)*100</f>
        <v/>
      </c>
      <c r="D234" s="17" t="n">
        <v>3.61</v>
      </c>
      <c r="E234" s="18">
        <f>(D234-D235)*100</f>
        <v/>
      </c>
      <c r="F234" s="17" t="n">
        <v>3.72</v>
      </c>
      <c r="G234" s="18">
        <f>(F234-F235)*100</f>
        <v/>
      </c>
      <c r="H234" s="17" t="n">
        <v>4.13</v>
      </c>
      <c r="I234" s="18">
        <f>(H234-H235)*100</f>
        <v/>
      </c>
      <c r="J234" s="17" t="n">
        <v>4.69</v>
      </c>
      <c r="K234" s="18">
        <f>(J234-J235)*100</f>
        <v/>
      </c>
      <c r="L234" s="18">
        <f>(F234-B234)*100</f>
        <v/>
      </c>
      <c r="M234" s="20">
        <f>(L234-$D$9)/$E$9</f>
        <v/>
      </c>
      <c r="N234" s="18">
        <f>(F234-D234)*100</f>
        <v/>
      </c>
      <c r="O234" s="20">
        <f>(N234-$D$10)/$E$10</f>
        <v/>
      </c>
      <c r="P234" s="18">
        <f>(H234-F234)*100</f>
        <v/>
      </c>
      <c r="Q234" s="20">
        <f>(P234-$D$11)/$E$11</f>
        <v/>
      </c>
      <c r="R234" s="18">
        <f>(J234-F234)*100</f>
        <v/>
      </c>
      <c r="S234" s="20">
        <f>(R234-$D$12)/$E$12</f>
        <v/>
      </c>
      <c r="T234" s="18">
        <f>(H234-B234)*100</f>
        <v/>
      </c>
      <c r="U234" s="20">
        <f>(T234-$D$13)/$E$13</f>
        <v/>
      </c>
      <c r="V234" s="18">
        <f>(H234-D234)*100</f>
        <v/>
      </c>
      <c r="W234" s="20">
        <f>(V234-$D$14)/$E$14</f>
        <v/>
      </c>
      <c r="X234" s="18">
        <f>(J234-H234)*100</f>
        <v/>
      </c>
      <c r="Y234" s="20">
        <f>(X234-$D$15)/$E$15</f>
        <v/>
      </c>
      <c r="Z234" s="18">
        <f>(J234-B234)*100</f>
        <v/>
      </c>
      <c r="AA234" s="20">
        <f>(Z234-$D$16)/$E$16</f>
        <v/>
      </c>
      <c r="AB234" s="18">
        <f>(2*F234-B234-H234)*100</f>
        <v/>
      </c>
      <c r="AC234" s="20">
        <f>(AB234-$D$17)/$E$17</f>
        <v/>
      </c>
      <c r="AD234" s="18">
        <f>L234-L235</f>
        <v/>
      </c>
      <c r="AE234" s="18">
        <f>N234-N235</f>
        <v/>
      </c>
      <c r="AF234" s="18">
        <f>P234-P235</f>
        <v/>
      </c>
      <c r="AG234" s="18">
        <f>R234-R235</f>
        <v/>
      </c>
      <c r="AH234" s="18">
        <f>T234-T235</f>
        <v/>
      </c>
      <c r="AI234" s="18">
        <f>V234-V235</f>
        <v/>
      </c>
      <c r="AJ234" s="18">
        <f>X234-X235</f>
        <v/>
      </c>
      <c r="AK234" s="18">
        <f>Z234-Z235</f>
        <v/>
      </c>
      <c r="AL234" s="18">
        <f>AB234-AB235</f>
        <v/>
      </c>
    </row>
    <row r="235">
      <c r="A235" s="16" t="n">
        <v>45961</v>
      </c>
      <c r="B235" s="17" t="n">
        <v>3.6</v>
      </c>
      <c r="C235" s="18">
        <f>(B235-B236)*100</f>
        <v/>
      </c>
      <c r="D235" s="17" t="n">
        <v>3.6</v>
      </c>
      <c r="E235" s="18">
        <f>(D235-D236)*100</f>
        <v/>
      </c>
      <c r="F235" s="17" t="n">
        <v>3.71</v>
      </c>
      <c r="G235" s="18">
        <f>(F235-F236)*100</f>
        <v/>
      </c>
      <c r="H235" s="17" t="n">
        <v>4.11</v>
      </c>
      <c r="I235" s="18">
        <f>(H235-H236)*100</f>
        <v/>
      </c>
      <c r="J235" s="17" t="n">
        <v>4.67</v>
      </c>
      <c r="K235" s="18">
        <f>(J235-J236)*100</f>
        <v/>
      </c>
      <c r="L235" s="18">
        <f>(F235-B235)*100</f>
        <v/>
      </c>
      <c r="M235" s="20">
        <f>(L235-$D$9)/$E$9</f>
        <v/>
      </c>
      <c r="N235" s="18">
        <f>(F235-D235)*100</f>
        <v/>
      </c>
      <c r="O235" s="20">
        <f>(N235-$D$10)/$E$10</f>
        <v/>
      </c>
      <c r="P235" s="18">
        <f>(H235-F235)*100</f>
        <v/>
      </c>
      <c r="Q235" s="20">
        <f>(P235-$D$11)/$E$11</f>
        <v/>
      </c>
      <c r="R235" s="18">
        <f>(J235-F235)*100</f>
        <v/>
      </c>
      <c r="S235" s="20">
        <f>(R235-$D$12)/$E$12</f>
        <v/>
      </c>
      <c r="T235" s="18">
        <f>(H235-B235)*100</f>
        <v/>
      </c>
      <c r="U235" s="20">
        <f>(T235-$D$13)/$E$13</f>
        <v/>
      </c>
      <c r="V235" s="18">
        <f>(H235-D235)*100</f>
        <v/>
      </c>
      <c r="W235" s="20">
        <f>(V235-$D$14)/$E$14</f>
        <v/>
      </c>
      <c r="X235" s="18">
        <f>(J235-H235)*100</f>
        <v/>
      </c>
      <c r="Y235" s="20">
        <f>(X235-$D$15)/$E$15</f>
        <v/>
      </c>
      <c r="Z235" s="18">
        <f>(J235-B235)*100</f>
        <v/>
      </c>
      <c r="AA235" s="20">
        <f>(Z235-$D$16)/$E$16</f>
        <v/>
      </c>
      <c r="AB235" s="18">
        <f>(2*F235-B235-H235)*100</f>
        <v/>
      </c>
      <c r="AC235" s="20">
        <f>(AB235-$D$17)/$E$17</f>
        <v/>
      </c>
      <c r="AD235" s="18">
        <f>L235-L236</f>
        <v/>
      </c>
      <c r="AE235" s="18">
        <f>N235-N236</f>
        <v/>
      </c>
      <c r="AF235" s="18">
        <f>P235-P236</f>
        <v/>
      </c>
      <c r="AG235" s="18">
        <f>R235-R236</f>
        <v/>
      </c>
      <c r="AH235" s="18">
        <f>T235-T236</f>
        <v/>
      </c>
      <c r="AI235" s="18">
        <f>V235-V236</f>
        <v/>
      </c>
      <c r="AJ235" s="18">
        <f>X235-X236</f>
        <v/>
      </c>
      <c r="AK235" s="18">
        <f>Z235-Z236</f>
        <v/>
      </c>
      <c r="AL235" s="18">
        <f>AB235-AB236</f>
        <v/>
      </c>
    </row>
    <row r="236">
      <c r="A236" s="16" t="n">
        <v>45960</v>
      </c>
      <c r="B236" s="17" t="n">
        <v>3.61</v>
      </c>
      <c r="C236" s="18">
        <f>(B236-B237)*100</f>
        <v/>
      </c>
      <c r="D236" s="17" t="n">
        <v>3.61</v>
      </c>
      <c r="E236" s="18">
        <f>(D236-D237)*100</f>
        <v/>
      </c>
      <c r="F236" s="17" t="n">
        <v>3.72</v>
      </c>
      <c r="G236" s="18">
        <f>(F236-F237)*100</f>
        <v/>
      </c>
      <c r="H236" s="17" t="n">
        <v>4.11</v>
      </c>
      <c r="I236" s="18">
        <f>(H236-H237)*100</f>
        <v/>
      </c>
      <c r="J236" s="17" t="n">
        <v>4.65</v>
      </c>
      <c r="K236" s="18">
        <f>(J236-J237)*100</f>
        <v/>
      </c>
      <c r="L236" s="18">
        <f>(F236-B236)*100</f>
        <v/>
      </c>
      <c r="M236" s="20">
        <f>(L236-$D$9)/$E$9</f>
        <v/>
      </c>
      <c r="N236" s="18">
        <f>(F236-D236)*100</f>
        <v/>
      </c>
      <c r="O236" s="20">
        <f>(N236-$D$10)/$E$10</f>
        <v/>
      </c>
      <c r="P236" s="18">
        <f>(H236-F236)*100</f>
        <v/>
      </c>
      <c r="Q236" s="20">
        <f>(P236-$D$11)/$E$11</f>
        <v/>
      </c>
      <c r="R236" s="18">
        <f>(J236-F236)*100</f>
        <v/>
      </c>
      <c r="S236" s="20">
        <f>(R236-$D$12)/$E$12</f>
        <v/>
      </c>
      <c r="T236" s="18">
        <f>(H236-B236)*100</f>
        <v/>
      </c>
      <c r="U236" s="20">
        <f>(T236-$D$13)/$E$13</f>
        <v/>
      </c>
      <c r="V236" s="18">
        <f>(H236-D236)*100</f>
        <v/>
      </c>
      <c r="W236" s="20">
        <f>(V236-$D$14)/$E$14</f>
        <v/>
      </c>
      <c r="X236" s="18">
        <f>(J236-H236)*100</f>
        <v/>
      </c>
      <c r="Y236" s="20">
        <f>(X236-$D$15)/$E$15</f>
        <v/>
      </c>
      <c r="Z236" s="18">
        <f>(J236-B236)*100</f>
        <v/>
      </c>
      <c r="AA236" s="20">
        <f>(Z236-$D$16)/$E$16</f>
        <v/>
      </c>
      <c r="AB236" s="18">
        <f>(2*F236-B236-H236)*100</f>
        <v/>
      </c>
      <c r="AC236" s="20">
        <f>(AB236-$D$17)/$E$17</f>
        <v/>
      </c>
      <c r="AD236" s="18">
        <f>L236-L237</f>
        <v/>
      </c>
      <c r="AE236" s="18">
        <f>N236-N237</f>
        <v/>
      </c>
      <c r="AF236" s="18">
        <f>P236-P237</f>
        <v/>
      </c>
      <c r="AG236" s="18">
        <f>R236-R237</f>
        <v/>
      </c>
      <c r="AH236" s="18">
        <f>T236-T237</f>
        <v/>
      </c>
      <c r="AI236" s="18">
        <f>V236-V237</f>
        <v/>
      </c>
      <c r="AJ236" s="18">
        <f>X236-X237</f>
        <v/>
      </c>
      <c r="AK236" s="18">
        <f>Z236-Z237</f>
        <v/>
      </c>
      <c r="AL236" s="18">
        <f>AB236-AB237</f>
        <v/>
      </c>
    </row>
    <row r="237">
      <c r="A237" s="16" t="n">
        <v>45959</v>
      </c>
      <c r="B237" s="17" t="n">
        <v>3.59</v>
      </c>
      <c r="C237" s="18">
        <f>(B237-B238)*100</f>
        <v/>
      </c>
      <c r="D237" s="17" t="n">
        <v>3.6</v>
      </c>
      <c r="E237" s="18">
        <f>(D237-D238)*100</f>
        <v/>
      </c>
      <c r="F237" s="17" t="n">
        <v>3.7</v>
      </c>
      <c r="G237" s="18">
        <f>(F237-F238)*100</f>
        <v/>
      </c>
      <c r="H237" s="17" t="n">
        <v>4.08</v>
      </c>
      <c r="I237" s="18">
        <f>(H237-H238)*100</f>
        <v/>
      </c>
      <c r="J237" s="17" t="n">
        <v>4.61</v>
      </c>
      <c r="K237" s="18">
        <f>(J237-J238)*100</f>
        <v/>
      </c>
      <c r="L237" s="18">
        <f>(F237-B237)*100</f>
        <v/>
      </c>
      <c r="M237" s="20">
        <f>(L237-$D$9)/$E$9</f>
        <v/>
      </c>
      <c r="N237" s="18">
        <f>(F237-D237)*100</f>
        <v/>
      </c>
      <c r="O237" s="20">
        <f>(N237-$D$10)/$E$10</f>
        <v/>
      </c>
      <c r="P237" s="18">
        <f>(H237-F237)*100</f>
        <v/>
      </c>
      <c r="Q237" s="20">
        <f>(P237-$D$11)/$E$11</f>
        <v/>
      </c>
      <c r="R237" s="18">
        <f>(J237-F237)*100</f>
        <v/>
      </c>
      <c r="S237" s="20">
        <f>(R237-$D$12)/$E$12</f>
        <v/>
      </c>
      <c r="T237" s="18">
        <f>(H237-B237)*100</f>
        <v/>
      </c>
      <c r="U237" s="20">
        <f>(T237-$D$13)/$E$13</f>
        <v/>
      </c>
      <c r="V237" s="18">
        <f>(H237-D237)*100</f>
        <v/>
      </c>
      <c r="W237" s="20">
        <f>(V237-$D$14)/$E$14</f>
        <v/>
      </c>
      <c r="X237" s="18">
        <f>(J237-H237)*100</f>
        <v/>
      </c>
      <c r="Y237" s="20">
        <f>(X237-$D$15)/$E$15</f>
        <v/>
      </c>
      <c r="Z237" s="18">
        <f>(J237-B237)*100</f>
        <v/>
      </c>
      <c r="AA237" s="20">
        <f>(Z237-$D$16)/$E$16</f>
        <v/>
      </c>
      <c r="AB237" s="18">
        <f>(2*F237-B237-H237)*100</f>
        <v/>
      </c>
      <c r="AC237" s="20">
        <f>(AB237-$D$17)/$E$17</f>
        <v/>
      </c>
      <c r="AD237" s="18">
        <f>L237-L238</f>
        <v/>
      </c>
      <c r="AE237" s="18">
        <f>N237-N238</f>
        <v/>
      </c>
      <c r="AF237" s="18">
        <f>P237-P238</f>
        <v/>
      </c>
      <c r="AG237" s="18">
        <f>R237-R238</f>
        <v/>
      </c>
      <c r="AH237" s="18">
        <f>T237-T238</f>
        <v/>
      </c>
      <c r="AI237" s="18">
        <f>V237-V238</f>
        <v/>
      </c>
      <c r="AJ237" s="18">
        <f>X237-X238</f>
        <v/>
      </c>
      <c r="AK237" s="18">
        <f>Z237-Z238</f>
        <v/>
      </c>
      <c r="AL237" s="18">
        <f>AB237-AB238</f>
        <v/>
      </c>
    </row>
    <row r="238">
      <c r="A238" s="16" t="n">
        <v>45958</v>
      </c>
      <c r="B238" s="17" t="n">
        <v>3.47</v>
      </c>
      <c r="C238" s="18">
        <f>(B238-B239)*100</f>
        <v/>
      </c>
      <c r="D238" s="17" t="n">
        <v>3.5</v>
      </c>
      <c r="E238" s="18">
        <f>(D238-D239)*100</f>
        <v/>
      </c>
      <c r="F238" s="17" t="n">
        <v>3.6</v>
      </c>
      <c r="G238" s="18">
        <f>(F238-F239)*100</f>
        <v/>
      </c>
      <c r="H238" s="17" t="n">
        <v>3.99</v>
      </c>
      <c r="I238" s="18">
        <f>(H238-H239)*100</f>
        <v/>
      </c>
      <c r="J238" s="17" t="n">
        <v>4.55</v>
      </c>
      <c r="K238" s="18">
        <f>(J238-J239)*100</f>
        <v/>
      </c>
      <c r="L238" s="18">
        <f>(F238-B238)*100</f>
        <v/>
      </c>
      <c r="M238" s="20">
        <f>(L238-$D$9)/$E$9</f>
        <v/>
      </c>
      <c r="N238" s="18">
        <f>(F238-D238)*100</f>
        <v/>
      </c>
      <c r="O238" s="20">
        <f>(N238-$D$10)/$E$10</f>
        <v/>
      </c>
      <c r="P238" s="18">
        <f>(H238-F238)*100</f>
        <v/>
      </c>
      <c r="Q238" s="20">
        <f>(P238-$D$11)/$E$11</f>
        <v/>
      </c>
      <c r="R238" s="18">
        <f>(J238-F238)*100</f>
        <v/>
      </c>
      <c r="S238" s="20">
        <f>(R238-$D$12)/$E$12</f>
        <v/>
      </c>
      <c r="T238" s="18">
        <f>(H238-B238)*100</f>
        <v/>
      </c>
      <c r="U238" s="20">
        <f>(T238-$D$13)/$E$13</f>
        <v/>
      </c>
      <c r="V238" s="18">
        <f>(H238-D238)*100</f>
        <v/>
      </c>
      <c r="W238" s="20">
        <f>(V238-$D$14)/$E$14</f>
        <v/>
      </c>
      <c r="X238" s="18">
        <f>(J238-H238)*100</f>
        <v/>
      </c>
      <c r="Y238" s="20">
        <f>(X238-$D$15)/$E$15</f>
        <v/>
      </c>
      <c r="Z238" s="18">
        <f>(J238-B238)*100</f>
        <v/>
      </c>
      <c r="AA238" s="20">
        <f>(Z238-$D$16)/$E$16</f>
        <v/>
      </c>
      <c r="AB238" s="18">
        <f>(2*F238-B238-H238)*100</f>
        <v/>
      </c>
      <c r="AC238" s="20">
        <f>(AB238-$D$17)/$E$17</f>
        <v/>
      </c>
      <c r="AD238" s="18">
        <f>L238-L239</f>
        <v/>
      </c>
      <c r="AE238" s="18">
        <f>N238-N239</f>
        <v/>
      </c>
      <c r="AF238" s="18">
        <f>P238-P239</f>
        <v/>
      </c>
      <c r="AG238" s="18">
        <f>R238-R239</f>
        <v/>
      </c>
      <c r="AH238" s="18">
        <f>T238-T239</f>
        <v/>
      </c>
      <c r="AI238" s="18">
        <f>V238-V239</f>
        <v/>
      </c>
      <c r="AJ238" s="18">
        <f>X238-X239</f>
        <v/>
      </c>
      <c r="AK238" s="18">
        <f>Z238-Z239</f>
        <v/>
      </c>
      <c r="AL238" s="18">
        <f>AB238-AB239</f>
        <v/>
      </c>
    </row>
    <row r="239">
      <c r="A239" s="16" t="n">
        <v>45957</v>
      </c>
      <c r="B239" s="17" t="n">
        <v>3.48</v>
      </c>
      <c r="C239" s="18">
        <f>(B239-B240)*100</f>
        <v/>
      </c>
      <c r="D239" s="17" t="n">
        <v>3.5</v>
      </c>
      <c r="E239" s="18">
        <f>(D239-D240)*100</f>
        <v/>
      </c>
      <c r="F239" s="17" t="n">
        <v>3.61</v>
      </c>
      <c r="G239" s="18">
        <f>(F239-F240)*100</f>
        <v/>
      </c>
      <c r="H239" s="17" t="n">
        <v>4.01</v>
      </c>
      <c r="I239" s="18">
        <f>(H239-H240)*100</f>
        <v/>
      </c>
      <c r="J239" s="17" t="n">
        <v>4.57</v>
      </c>
      <c r="K239" s="18">
        <f>(J239-J240)*100</f>
        <v/>
      </c>
      <c r="L239" s="18">
        <f>(F239-B239)*100</f>
        <v/>
      </c>
      <c r="M239" s="20">
        <f>(L239-$D$9)/$E$9</f>
        <v/>
      </c>
      <c r="N239" s="18">
        <f>(F239-D239)*100</f>
        <v/>
      </c>
      <c r="O239" s="20">
        <f>(N239-$D$10)/$E$10</f>
        <v/>
      </c>
      <c r="P239" s="18">
        <f>(H239-F239)*100</f>
        <v/>
      </c>
      <c r="Q239" s="20">
        <f>(P239-$D$11)/$E$11</f>
        <v/>
      </c>
      <c r="R239" s="18">
        <f>(J239-F239)*100</f>
        <v/>
      </c>
      <c r="S239" s="20">
        <f>(R239-$D$12)/$E$12</f>
        <v/>
      </c>
      <c r="T239" s="18">
        <f>(H239-B239)*100</f>
        <v/>
      </c>
      <c r="U239" s="20">
        <f>(T239-$D$13)/$E$13</f>
        <v/>
      </c>
      <c r="V239" s="18">
        <f>(H239-D239)*100</f>
        <v/>
      </c>
      <c r="W239" s="20">
        <f>(V239-$D$14)/$E$14</f>
        <v/>
      </c>
      <c r="X239" s="18">
        <f>(J239-H239)*100</f>
        <v/>
      </c>
      <c r="Y239" s="20">
        <f>(X239-$D$15)/$E$15</f>
        <v/>
      </c>
      <c r="Z239" s="18">
        <f>(J239-B239)*100</f>
        <v/>
      </c>
      <c r="AA239" s="20">
        <f>(Z239-$D$16)/$E$16</f>
        <v/>
      </c>
      <c r="AB239" s="18">
        <f>(2*F239-B239-H239)*100</f>
        <v/>
      </c>
      <c r="AC239" s="20">
        <f>(AB239-$D$17)/$E$17</f>
        <v/>
      </c>
      <c r="AD239" s="18">
        <f>L239-L240</f>
        <v/>
      </c>
      <c r="AE239" s="18">
        <f>N239-N240</f>
        <v/>
      </c>
      <c r="AF239" s="18">
        <f>P239-P240</f>
        <v/>
      </c>
      <c r="AG239" s="18">
        <f>R239-R240</f>
        <v/>
      </c>
      <c r="AH239" s="18">
        <f>T239-T240</f>
        <v/>
      </c>
      <c r="AI239" s="18">
        <f>V239-V240</f>
        <v/>
      </c>
      <c r="AJ239" s="18">
        <f>X239-X240</f>
        <v/>
      </c>
      <c r="AK239" s="18">
        <f>Z239-Z240</f>
        <v/>
      </c>
      <c r="AL239" s="18">
        <f>AB239-AB240</f>
        <v/>
      </c>
    </row>
    <row r="240">
      <c r="A240" s="16" t="n">
        <v>45954</v>
      </c>
      <c r="B240" s="17" t="n">
        <v>3.48</v>
      </c>
      <c r="C240" s="18">
        <f>(B240-B241)*100</f>
        <v/>
      </c>
      <c r="D240" s="17" t="n">
        <v>3.49</v>
      </c>
      <c r="E240" s="18">
        <f>(D240-D241)*100</f>
        <v/>
      </c>
      <c r="F240" s="17" t="n">
        <v>3.61</v>
      </c>
      <c r="G240" s="18">
        <f>(F240-F241)*100</f>
        <v/>
      </c>
      <c r="H240" s="17" t="n">
        <v>4.02</v>
      </c>
      <c r="I240" s="18">
        <f>(H240-H241)*100</f>
        <v/>
      </c>
      <c r="J240" s="17" t="n">
        <v>4.59</v>
      </c>
      <c r="K240" s="18">
        <f>(J240-J241)*100</f>
        <v/>
      </c>
      <c r="L240" s="18">
        <f>(F240-B240)*100</f>
        <v/>
      </c>
      <c r="M240" s="20">
        <f>(L240-$D$9)/$E$9</f>
        <v/>
      </c>
      <c r="N240" s="18">
        <f>(F240-D240)*100</f>
        <v/>
      </c>
      <c r="O240" s="20">
        <f>(N240-$D$10)/$E$10</f>
        <v/>
      </c>
      <c r="P240" s="18">
        <f>(H240-F240)*100</f>
        <v/>
      </c>
      <c r="Q240" s="20">
        <f>(P240-$D$11)/$E$11</f>
        <v/>
      </c>
      <c r="R240" s="18">
        <f>(J240-F240)*100</f>
        <v/>
      </c>
      <c r="S240" s="20">
        <f>(R240-$D$12)/$E$12</f>
        <v/>
      </c>
      <c r="T240" s="18">
        <f>(H240-B240)*100</f>
        <v/>
      </c>
      <c r="U240" s="20">
        <f>(T240-$D$13)/$E$13</f>
        <v/>
      </c>
      <c r="V240" s="18">
        <f>(H240-D240)*100</f>
        <v/>
      </c>
      <c r="W240" s="20">
        <f>(V240-$D$14)/$E$14</f>
        <v/>
      </c>
      <c r="X240" s="18">
        <f>(J240-H240)*100</f>
        <v/>
      </c>
      <c r="Y240" s="20">
        <f>(X240-$D$15)/$E$15</f>
        <v/>
      </c>
      <c r="Z240" s="18">
        <f>(J240-B240)*100</f>
        <v/>
      </c>
      <c r="AA240" s="20">
        <f>(Z240-$D$16)/$E$16</f>
        <v/>
      </c>
      <c r="AB240" s="18">
        <f>(2*F240-B240-H240)*100</f>
        <v/>
      </c>
      <c r="AC240" s="20">
        <f>(AB240-$D$17)/$E$17</f>
        <v/>
      </c>
      <c r="AD240" s="18">
        <f>L240-L241</f>
        <v/>
      </c>
      <c r="AE240" s="18">
        <f>N240-N241</f>
        <v/>
      </c>
      <c r="AF240" s="18">
        <f>P240-P241</f>
        <v/>
      </c>
      <c r="AG240" s="18">
        <f>R240-R241</f>
        <v/>
      </c>
      <c r="AH240" s="18">
        <f>T240-T241</f>
        <v/>
      </c>
      <c r="AI240" s="18">
        <f>V240-V241</f>
        <v/>
      </c>
      <c r="AJ240" s="18">
        <f>X240-X241</f>
        <v/>
      </c>
      <c r="AK240" s="18">
        <f>Z240-Z241</f>
        <v/>
      </c>
      <c r="AL240" s="18">
        <f>AB240-AB241</f>
        <v/>
      </c>
    </row>
    <row r="241">
      <c r="A241" s="16" t="n">
        <v>45953</v>
      </c>
      <c r="B241" s="17" t="n">
        <v>3.48</v>
      </c>
      <c r="C241" s="18">
        <f>(B241-B242)*100</f>
        <v/>
      </c>
      <c r="D241" s="17" t="n">
        <v>3.49</v>
      </c>
      <c r="E241" s="18">
        <f>(D241-D242)*100</f>
        <v/>
      </c>
      <c r="F241" s="17" t="n">
        <v>3.61</v>
      </c>
      <c r="G241" s="18">
        <f>(F241-F242)*100</f>
        <v/>
      </c>
      <c r="H241" s="17" t="n">
        <v>4.01</v>
      </c>
      <c r="I241" s="18">
        <f>(H241-H242)*100</f>
        <v/>
      </c>
      <c r="J241" s="17" t="n">
        <v>4.58</v>
      </c>
      <c r="K241" s="18">
        <f>(J241-J242)*100</f>
        <v/>
      </c>
      <c r="L241" s="18">
        <f>(F241-B241)*100</f>
        <v/>
      </c>
      <c r="M241" s="20">
        <f>(L241-$D$9)/$E$9</f>
        <v/>
      </c>
      <c r="N241" s="18">
        <f>(F241-D241)*100</f>
        <v/>
      </c>
      <c r="O241" s="20">
        <f>(N241-$D$10)/$E$10</f>
        <v/>
      </c>
      <c r="P241" s="18">
        <f>(H241-F241)*100</f>
        <v/>
      </c>
      <c r="Q241" s="20">
        <f>(P241-$D$11)/$E$11</f>
        <v/>
      </c>
      <c r="R241" s="18">
        <f>(J241-F241)*100</f>
        <v/>
      </c>
      <c r="S241" s="20">
        <f>(R241-$D$12)/$E$12</f>
        <v/>
      </c>
      <c r="T241" s="18">
        <f>(H241-B241)*100</f>
        <v/>
      </c>
      <c r="U241" s="20">
        <f>(T241-$D$13)/$E$13</f>
        <v/>
      </c>
      <c r="V241" s="18">
        <f>(H241-D241)*100</f>
        <v/>
      </c>
      <c r="W241" s="20">
        <f>(V241-$D$14)/$E$14</f>
        <v/>
      </c>
      <c r="X241" s="18">
        <f>(J241-H241)*100</f>
        <v/>
      </c>
      <c r="Y241" s="20">
        <f>(X241-$D$15)/$E$15</f>
        <v/>
      </c>
      <c r="Z241" s="18">
        <f>(J241-B241)*100</f>
        <v/>
      </c>
      <c r="AA241" s="20">
        <f>(Z241-$D$16)/$E$16</f>
        <v/>
      </c>
      <c r="AB241" s="18">
        <f>(2*F241-B241-H241)*100</f>
        <v/>
      </c>
      <c r="AC241" s="20">
        <f>(AB241-$D$17)/$E$17</f>
        <v/>
      </c>
      <c r="AD241" s="18">
        <f>L241-L242</f>
        <v/>
      </c>
      <c r="AE241" s="18">
        <f>N241-N242</f>
        <v/>
      </c>
      <c r="AF241" s="18">
        <f>P241-P242</f>
        <v/>
      </c>
      <c r="AG241" s="18">
        <f>R241-R242</f>
        <v/>
      </c>
      <c r="AH241" s="18">
        <f>T241-T242</f>
        <v/>
      </c>
      <c r="AI241" s="18">
        <f>V241-V242</f>
        <v/>
      </c>
      <c r="AJ241" s="18">
        <f>X241-X242</f>
        <v/>
      </c>
      <c r="AK241" s="18">
        <f>Z241-Z242</f>
        <v/>
      </c>
      <c r="AL241" s="18">
        <f>AB241-AB242</f>
        <v/>
      </c>
    </row>
    <row r="242">
      <c r="A242" s="16" t="n">
        <v>45952</v>
      </c>
      <c r="B242" s="17" t="n">
        <v>3.45</v>
      </c>
      <c r="C242" s="18">
        <f>(B242-B243)*100</f>
        <v/>
      </c>
      <c r="D242" s="17" t="n">
        <v>3.44</v>
      </c>
      <c r="E242" s="18">
        <f>(D242-D243)*100</f>
        <v/>
      </c>
      <c r="F242" s="17" t="n">
        <v>3.56</v>
      </c>
      <c r="G242" s="18">
        <f>(F242-F243)*100</f>
        <v/>
      </c>
      <c r="H242" s="17" t="n">
        <v>3.97</v>
      </c>
      <c r="I242" s="18">
        <f>(H242-H243)*100</f>
        <v/>
      </c>
      <c r="J242" s="17" t="n">
        <v>4.54</v>
      </c>
      <c r="K242" s="18">
        <f>(J242-J243)*100</f>
        <v/>
      </c>
      <c r="L242" s="18">
        <f>(F242-B242)*100</f>
        <v/>
      </c>
      <c r="M242" s="20">
        <f>(L242-$D$9)/$E$9</f>
        <v/>
      </c>
      <c r="N242" s="18">
        <f>(F242-D242)*100</f>
        <v/>
      </c>
      <c r="O242" s="20">
        <f>(N242-$D$10)/$E$10</f>
        <v/>
      </c>
      <c r="P242" s="18">
        <f>(H242-F242)*100</f>
        <v/>
      </c>
      <c r="Q242" s="20">
        <f>(P242-$D$11)/$E$11</f>
        <v/>
      </c>
      <c r="R242" s="18">
        <f>(J242-F242)*100</f>
        <v/>
      </c>
      <c r="S242" s="20">
        <f>(R242-$D$12)/$E$12</f>
        <v/>
      </c>
      <c r="T242" s="18">
        <f>(H242-B242)*100</f>
        <v/>
      </c>
      <c r="U242" s="20">
        <f>(T242-$D$13)/$E$13</f>
        <v/>
      </c>
      <c r="V242" s="18">
        <f>(H242-D242)*100</f>
        <v/>
      </c>
      <c r="W242" s="20">
        <f>(V242-$D$14)/$E$14</f>
        <v/>
      </c>
      <c r="X242" s="18">
        <f>(J242-H242)*100</f>
        <v/>
      </c>
      <c r="Y242" s="20">
        <f>(X242-$D$15)/$E$15</f>
        <v/>
      </c>
      <c r="Z242" s="18">
        <f>(J242-B242)*100</f>
        <v/>
      </c>
      <c r="AA242" s="20">
        <f>(Z242-$D$16)/$E$16</f>
        <v/>
      </c>
      <c r="AB242" s="18">
        <f>(2*F242-B242-H242)*100</f>
        <v/>
      </c>
      <c r="AC242" s="20">
        <f>(AB242-$D$17)/$E$17</f>
        <v/>
      </c>
      <c r="AD242" s="18">
        <f>L242-L243</f>
        <v/>
      </c>
      <c r="AE242" s="18">
        <f>N242-N243</f>
        <v/>
      </c>
      <c r="AF242" s="18">
        <f>P242-P243</f>
        <v/>
      </c>
      <c r="AG242" s="18">
        <f>R242-R243</f>
        <v/>
      </c>
      <c r="AH242" s="18">
        <f>T242-T243</f>
        <v/>
      </c>
      <c r="AI242" s="18">
        <f>V242-V243</f>
        <v/>
      </c>
      <c r="AJ242" s="18">
        <f>X242-X243</f>
        <v/>
      </c>
      <c r="AK242" s="18">
        <f>Z242-Z243</f>
        <v/>
      </c>
      <c r="AL242" s="18">
        <f>AB242-AB243</f>
        <v/>
      </c>
    </row>
    <row r="243">
      <c r="A243" s="16" t="n">
        <v>45951</v>
      </c>
      <c r="B243" s="17" t="n">
        <v>3.45</v>
      </c>
      <c r="C243" s="18">
        <f>(B243-B244)*100</f>
        <v/>
      </c>
      <c r="D243" s="17" t="n">
        <v>3.46</v>
      </c>
      <c r="E243" s="18">
        <f>(D243-D244)*100</f>
        <v/>
      </c>
      <c r="F243" s="17" t="n">
        <v>3.56</v>
      </c>
      <c r="G243" s="18">
        <f>(F243-F244)*100</f>
        <v/>
      </c>
      <c r="H243" s="17" t="n">
        <v>3.98</v>
      </c>
      <c r="I243" s="18">
        <f>(H243-H244)*100</f>
        <v/>
      </c>
      <c r="J243" s="17" t="n">
        <v>4.55</v>
      </c>
      <c r="K243" s="18">
        <f>(J243-J244)*100</f>
        <v/>
      </c>
      <c r="L243" s="18">
        <f>(F243-B243)*100</f>
        <v/>
      </c>
      <c r="M243" s="20">
        <f>(L243-$D$9)/$E$9</f>
        <v/>
      </c>
      <c r="N243" s="18">
        <f>(F243-D243)*100</f>
        <v/>
      </c>
      <c r="O243" s="20">
        <f>(N243-$D$10)/$E$10</f>
        <v/>
      </c>
      <c r="P243" s="18">
        <f>(H243-F243)*100</f>
        <v/>
      </c>
      <c r="Q243" s="20">
        <f>(P243-$D$11)/$E$11</f>
        <v/>
      </c>
      <c r="R243" s="18">
        <f>(J243-F243)*100</f>
        <v/>
      </c>
      <c r="S243" s="20">
        <f>(R243-$D$12)/$E$12</f>
        <v/>
      </c>
      <c r="T243" s="18">
        <f>(H243-B243)*100</f>
        <v/>
      </c>
      <c r="U243" s="20">
        <f>(T243-$D$13)/$E$13</f>
        <v/>
      </c>
      <c r="V243" s="18">
        <f>(H243-D243)*100</f>
        <v/>
      </c>
      <c r="W243" s="20">
        <f>(V243-$D$14)/$E$14</f>
        <v/>
      </c>
      <c r="X243" s="18">
        <f>(J243-H243)*100</f>
        <v/>
      </c>
      <c r="Y243" s="20">
        <f>(X243-$D$15)/$E$15</f>
        <v/>
      </c>
      <c r="Z243" s="18">
        <f>(J243-B243)*100</f>
        <v/>
      </c>
      <c r="AA243" s="20">
        <f>(Z243-$D$16)/$E$16</f>
        <v/>
      </c>
      <c r="AB243" s="18">
        <f>(2*F243-B243-H243)*100</f>
        <v/>
      </c>
      <c r="AC243" s="20">
        <f>(AB243-$D$17)/$E$17</f>
        <v/>
      </c>
      <c r="AD243" s="18">
        <f>L243-L244</f>
        <v/>
      </c>
      <c r="AE243" s="18">
        <f>N243-N244</f>
        <v/>
      </c>
      <c r="AF243" s="18">
        <f>P243-P244</f>
        <v/>
      </c>
      <c r="AG243" s="18">
        <f>R243-R244</f>
        <v/>
      </c>
      <c r="AH243" s="18">
        <f>T243-T244</f>
        <v/>
      </c>
      <c r="AI243" s="18">
        <f>V243-V244</f>
        <v/>
      </c>
      <c r="AJ243" s="18">
        <f>X243-X244</f>
        <v/>
      </c>
      <c r="AK243" s="18">
        <f>Z243-Z244</f>
        <v/>
      </c>
      <c r="AL243" s="18">
        <f>AB243-AB244</f>
        <v/>
      </c>
    </row>
    <row r="244">
      <c r="A244" s="16" t="n">
        <v>45950</v>
      </c>
      <c r="B244" s="17" t="n">
        <v>3.46</v>
      </c>
      <c r="C244" s="18">
        <f>(B244-B245)*100</f>
        <v/>
      </c>
      <c r="D244" s="17" t="n">
        <v>3.47</v>
      </c>
      <c r="E244" s="18">
        <f>(D244-D245)*100</f>
        <v/>
      </c>
      <c r="F244" s="17" t="n">
        <v>3.58</v>
      </c>
      <c r="G244" s="18">
        <f>(F244-F245)*100</f>
        <v/>
      </c>
      <c r="H244" s="17" t="n">
        <v>4</v>
      </c>
      <c r="I244" s="18">
        <f>(H244-H245)*100</f>
        <v/>
      </c>
      <c r="J244" s="17" t="n">
        <v>4.58</v>
      </c>
      <c r="K244" s="18">
        <f>(J244-J245)*100</f>
        <v/>
      </c>
      <c r="L244" s="18">
        <f>(F244-B244)*100</f>
        <v/>
      </c>
      <c r="M244" s="20">
        <f>(L244-$D$9)/$E$9</f>
        <v/>
      </c>
      <c r="N244" s="18">
        <f>(F244-D244)*100</f>
        <v/>
      </c>
      <c r="O244" s="20">
        <f>(N244-$D$10)/$E$10</f>
        <v/>
      </c>
      <c r="P244" s="18">
        <f>(H244-F244)*100</f>
        <v/>
      </c>
      <c r="Q244" s="20">
        <f>(P244-$D$11)/$E$11</f>
        <v/>
      </c>
      <c r="R244" s="18">
        <f>(J244-F244)*100</f>
        <v/>
      </c>
      <c r="S244" s="20">
        <f>(R244-$D$12)/$E$12</f>
        <v/>
      </c>
      <c r="T244" s="18">
        <f>(H244-B244)*100</f>
        <v/>
      </c>
      <c r="U244" s="20">
        <f>(T244-$D$13)/$E$13</f>
        <v/>
      </c>
      <c r="V244" s="18">
        <f>(H244-D244)*100</f>
        <v/>
      </c>
      <c r="W244" s="20">
        <f>(V244-$D$14)/$E$14</f>
        <v/>
      </c>
      <c r="X244" s="18">
        <f>(J244-H244)*100</f>
        <v/>
      </c>
      <c r="Y244" s="20">
        <f>(X244-$D$15)/$E$15</f>
        <v/>
      </c>
      <c r="Z244" s="18">
        <f>(J244-B244)*100</f>
        <v/>
      </c>
      <c r="AA244" s="20">
        <f>(Z244-$D$16)/$E$16</f>
        <v/>
      </c>
      <c r="AB244" s="18">
        <f>(2*F244-B244-H244)*100</f>
        <v/>
      </c>
      <c r="AC244" s="20">
        <f>(AB244-$D$17)/$E$17</f>
        <v/>
      </c>
      <c r="AD244" s="18">
        <f>L244-L245</f>
        <v/>
      </c>
      <c r="AE244" s="18">
        <f>N244-N245</f>
        <v/>
      </c>
      <c r="AF244" s="18">
        <f>P244-P245</f>
        <v/>
      </c>
      <c r="AG244" s="18">
        <f>R244-R245</f>
        <v/>
      </c>
      <c r="AH244" s="18">
        <f>T244-T245</f>
        <v/>
      </c>
      <c r="AI244" s="18">
        <f>V244-V245</f>
        <v/>
      </c>
      <c r="AJ244" s="18">
        <f>X244-X245</f>
        <v/>
      </c>
      <c r="AK244" s="18">
        <f>Z244-Z245</f>
        <v/>
      </c>
      <c r="AL244" s="18">
        <f>AB244-AB245</f>
        <v/>
      </c>
    </row>
    <row r="245">
      <c r="A245" s="16" t="n">
        <v>45947</v>
      </c>
      <c r="B245" s="17" t="n">
        <v>3.46</v>
      </c>
      <c r="C245" s="18">
        <f>(B245-B246)*100</f>
        <v/>
      </c>
      <c r="D245" s="17" t="n">
        <v>3.47</v>
      </c>
      <c r="E245" s="18">
        <f>(D245-D246)*100</f>
        <v/>
      </c>
      <c r="F245" s="17" t="n">
        <v>3.59</v>
      </c>
      <c r="G245" s="18">
        <f>(F245-F246)*100</f>
        <v/>
      </c>
      <c r="H245" s="17" t="n">
        <v>4.02</v>
      </c>
      <c r="I245" s="18">
        <f>(H245-H246)*100</f>
        <v/>
      </c>
      <c r="J245" s="17" t="n">
        <v>4.6</v>
      </c>
      <c r="K245" s="18">
        <f>(J245-J246)*100</f>
        <v/>
      </c>
      <c r="L245" s="18">
        <f>(F245-B245)*100</f>
        <v/>
      </c>
      <c r="M245" s="20">
        <f>(L245-$D$9)/$E$9</f>
        <v/>
      </c>
      <c r="N245" s="18">
        <f>(F245-D245)*100</f>
        <v/>
      </c>
      <c r="O245" s="20">
        <f>(N245-$D$10)/$E$10</f>
        <v/>
      </c>
      <c r="P245" s="18">
        <f>(H245-F245)*100</f>
        <v/>
      </c>
      <c r="Q245" s="20">
        <f>(P245-$D$11)/$E$11</f>
        <v/>
      </c>
      <c r="R245" s="18">
        <f>(J245-F245)*100</f>
        <v/>
      </c>
      <c r="S245" s="20">
        <f>(R245-$D$12)/$E$12</f>
        <v/>
      </c>
      <c r="T245" s="18">
        <f>(H245-B245)*100</f>
        <v/>
      </c>
      <c r="U245" s="20">
        <f>(T245-$D$13)/$E$13</f>
        <v/>
      </c>
      <c r="V245" s="18">
        <f>(H245-D245)*100</f>
        <v/>
      </c>
      <c r="W245" s="20">
        <f>(V245-$D$14)/$E$14</f>
        <v/>
      </c>
      <c r="X245" s="18">
        <f>(J245-H245)*100</f>
        <v/>
      </c>
      <c r="Y245" s="20">
        <f>(X245-$D$15)/$E$15</f>
        <v/>
      </c>
      <c r="Z245" s="18">
        <f>(J245-B245)*100</f>
        <v/>
      </c>
      <c r="AA245" s="20">
        <f>(Z245-$D$16)/$E$16</f>
        <v/>
      </c>
      <c r="AB245" s="18">
        <f>(2*F245-B245-H245)*100</f>
        <v/>
      </c>
      <c r="AC245" s="20">
        <f>(AB245-$D$17)/$E$17</f>
        <v/>
      </c>
      <c r="AD245" s="18">
        <f>L245-L246</f>
        <v/>
      </c>
      <c r="AE245" s="18">
        <f>N245-N246</f>
        <v/>
      </c>
      <c r="AF245" s="18">
        <f>P245-P246</f>
        <v/>
      </c>
      <c r="AG245" s="18">
        <f>R245-R246</f>
        <v/>
      </c>
      <c r="AH245" s="18">
        <f>T245-T246</f>
        <v/>
      </c>
      <c r="AI245" s="18">
        <f>V245-V246</f>
        <v/>
      </c>
      <c r="AJ245" s="18">
        <f>X245-X246</f>
        <v/>
      </c>
      <c r="AK245" s="18">
        <f>Z245-Z246</f>
        <v/>
      </c>
      <c r="AL245" s="18">
        <f>AB245-AB246</f>
        <v/>
      </c>
    </row>
    <row r="246">
      <c r="A246" s="16" t="n">
        <v>45946</v>
      </c>
      <c r="B246" s="17" t="n">
        <v>3.41</v>
      </c>
      <c r="C246" s="18">
        <f>(B246-B247)*100</f>
        <v/>
      </c>
      <c r="D246" s="17" t="n">
        <v>3.42</v>
      </c>
      <c r="E246" s="18">
        <f>(D246-D247)*100</f>
        <v/>
      </c>
      <c r="F246" s="17" t="n">
        <v>3.55</v>
      </c>
      <c r="G246" s="18">
        <f>(F246-F247)*100</f>
        <v/>
      </c>
      <c r="H246" s="17" t="n">
        <v>3.99</v>
      </c>
      <c r="I246" s="18">
        <f>(H246-H247)*100</f>
        <v/>
      </c>
      <c r="J246" s="17" t="n">
        <v>4.58</v>
      </c>
      <c r="K246" s="18">
        <f>(J246-J247)*100</f>
        <v/>
      </c>
      <c r="L246" s="18">
        <f>(F246-B246)*100</f>
        <v/>
      </c>
      <c r="M246" s="20">
        <f>(L246-$D$9)/$E$9</f>
        <v/>
      </c>
      <c r="N246" s="18">
        <f>(F246-D246)*100</f>
        <v/>
      </c>
      <c r="O246" s="20">
        <f>(N246-$D$10)/$E$10</f>
        <v/>
      </c>
      <c r="P246" s="18">
        <f>(H246-F246)*100</f>
        <v/>
      </c>
      <c r="Q246" s="20">
        <f>(P246-$D$11)/$E$11</f>
        <v/>
      </c>
      <c r="R246" s="18">
        <f>(J246-F246)*100</f>
        <v/>
      </c>
      <c r="S246" s="20">
        <f>(R246-$D$12)/$E$12</f>
        <v/>
      </c>
      <c r="T246" s="18">
        <f>(H246-B246)*100</f>
        <v/>
      </c>
      <c r="U246" s="20">
        <f>(T246-$D$13)/$E$13</f>
        <v/>
      </c>
      <c r="V246" s="18">
        <f>(H246-D246)*100</f>
        <v/>
      </c>
      <c r="W246" s="20">
        <f>(V246-$D$14)/$E$14</f>
        <v/>
      </c>
      <c r="X246" s="18">
        <f>(J246-H246)*100</f>
        <v/>
      </c>
      <c r="Y246" s="20">
        <f>(X246-$D$15)/$E$15</f>
        <v/>
      </c>
      <c r="Z246" s="18">
        <f>(J246-B246)*100</f>
        <v/>
      </c>
      <c r="AA246" s="20">
        <f>(Z246-$D$16)/$E$16</f>
        <v/>
      </c>
      <c r="AB246" s="18">
        <f>(2*F246-B246-H246)*100</f>
        <v/>
      </c>
      <c r="AC246" s="20">
        <f>(AB246-$D$17)/$E$17</f>
        <v/>
      </c>
      <c r="AD246" s="18">
        <f>L246-L247</f>
        <v/>
      </c>
      <c r="AE246" s="18">
        <f>N246-N247</f>
        <v/>
      </c>
      <c r="AF246" s="18">
        <f>P246-P247</f>
        <v/>
      </c>
      <c r="AG246" s="18">
        <f>R246-R247</f>
        <v/>
      </c>
      <c r="AH246" s="18">
        <f>T246-T247</f>
        <v/>
      </c>
      <c r="AI246" s="18">
        <f>V246-V247</f>
        <v/>
      </c>
      <c r="AJ246" s="18">
        <f>X246-X247</f>
        <v/>
      </c>
      <c r="AK246" s="18">
        <f>Z246-Z247</f>
        <v/>
      </c>
      <c r="AL246" s="18">
        <f>AB246-AB247</f>
        <v/>
      </c>
    </row>
    <row r="247">
      <c r="A247" s="16" t="n">
        <v>45945</v>
      </c>
      <c r="B247" s="17" t="n">
        <v>3.5</v>
      </c>
      <c r="C247" s="18">
        <f>(B247-B248)*100</f>
        <v/>
      </c>
      <c r="D247" s="17" t="n">
        <v>3.51</v>
      </c>
      <c r="E247" s="18">
        <f>(D247-D248)*100</f>
        <v/>
      </c>
      <c r="F247" s="17" t="n">
        <v>3.63</v>
      </c>
      <c r="G247" s="18">
        <f>(F247-F248)*100</f>
        <v/>
      </c>
      <c r="H247" s="17" t="n">
        <v>4.05</v>
      </c>
      <c r="I247" s="18">
        <f>(H247-H248)*100</f>
        <v/>
      </c>
      <c r="J247" s="17" t="n">
        <v>4.64</v>
      </c>
      <c r="K247" s="18">
        <f>(J247-J248)*100</f>
        <v/>
      </c>
      <c r="L247" s="18">
        <f>(F247-B247)*100</f>
        <v/>
      </c>
      <c r="M247" s="20">
        <f>(L247-$D$9)/$E$9</f>
        <v/>
      </c>
      <c r="N247" s="18">
        <f>(F247-D247)*100</f>
        <v/>
      </c>
      <c r="O247" s="20">
        <f>(N247-$D$10)/$E$10</f>
        <v/>
      </c>
      <c r="P247" s="18">
        <f>(H247-F247)*100</f>
        <v/>
      </c>
      <c r="Q247" s="20">
        <f>(P247-$D$11)/$E$11</f>
        <v/>
      </c>
      <c r="R247" s="18">
        <f>(J247-F247)*100</f>
        <v/>
      </c>
      <c r="S247" s="20">
        <f>(R247-$D$12)/$E$12</f>
        <v/>
      </c>
      <c r="T247" s="18">
        <f>(H247-B247)*100</f>
        <v/>
      </c>
      <c r="U247" s="20">
        <f>(T247-$D$13)/$E$13</f>
        <v/>
      </c>
      <c r="V247" s="18">
        <f>(H247-D247)*100</f>
        <v/>
      </c>
      <c r="W247" s="20">
        <f>(V247-$D$14)/$E$14</f>
        <v/>
      </c>
      <c r="X247" s="18">
        <f>(J247-H247)*100</f>
        <v/>
      </c>
      <c r="Y247" s="20">
        <f>(X247-$D$15)/$E$15</f>
        <v/>
      </c>
      <c r="Z247" s="18">
        <f>(J247-B247)*100</f>
        <v/>
      </c>
      <c r="AA247" s="20">
        <f>(Z247-$D$16)/$E$16</f>
        <v/>
      </c>
      <c r="AB247" s="18">
        <f>(2*F247-B247-H247)*100</f>
        <v/>
      </c>
      <c r="AC247" s="20">
        <f>(AB247-$D$17)/$E$17</f>
        <v/>
      </c>
      <c r="AD247" s="18">
        <f>L247-L248</f>
        <v/>
      </c>
      <c r="AE247" s="18">
        <f>N247-N248</f>
        <v/>
      </c>
      <c r="AF247" s="18">
        <f>P247-P248</f>
        <v/>
      </c>
      <c r="AG247" s="18">
        <f>R247-R248</f>
        <v/>
      </c>
      <c r="AH247" s="18">
        <f>T247-T248</f>
        <v/>
      </c>
      <c r="AI247" s="18">
        <f>V247-V248</f>
        <v/>
      </c>
      <c r="AJ247" s="18">
        <f>X247-X248</f>
        <v/>
      </c>
      <c r="AK247" s="18">
        <f>Z247-Z248</f>
        <v/>
      </c>
      <c r="AL247" s="18">
        <f>AB247-AB248</f>
        <v/>
      </c>
    </row>
    <row r="248">
      <c r="A248" s="16" t="n">
        <v>45944</v>
      </c>
      <c r="B248" s="17" t="n">
        <v>3.48</v>
      </c>
      <c r="C248" s="18">
        <f>(B248-B249)*100</f>
        <v/>
      </c>
      <c r="D248" s="17" t="n">
        <v>3.47</v>
      </c>
      <c r="E248" s="18">
        <f>(D248-D249)*100</f>
        <v/>
      </c>
      <c r="F248" s="17" t="n">
        <v>3.6</v>
      </c>
      <c r="G248" s="18">
        <f>(F248-F249)*100</f>
        <v/>
      </c>
      <c r="H248" s="17" t="n">
        <v>4.03</v>
      </c>
      <c r="I248" s="18">
        <f>(H248-H249)*100</f>
        <v/>
      </c>
      <c r="J248" s="17" t="n">
        <v>4.62</v>
      </c>
      <c r="K248" s="18">
        <f>(J248-J249)*100</f>
        <v/>
      </c>
      <c r="L248" s="18">
        <f>(F248-B248)*100</f>
        <v/>
      </c>
      <c r="M248" s="20">
        <f>(L248-$D$9)/$E$9</f>
        <v/>
      </c>
      <c r="N248" s="18">
        <f>(F248-D248)*100</f>
        <v/>
      </c>
      <c r="O248" s="20">
        <f>(N248-$D$10)/$E$10</f>
        <v/>
      </c>
      <c r="P248" s="18">
        <f>(H248-F248)*100</f>
        <v/>
      </c>
      <c r="Q248" s="20">
        <f>(P248-$D$11)/$E$11</f>
        <v/>
      </c>
      <c r="R248" s="18">
        <f>(J248-F248)*100</f>
        <v/>
      </c>
      <c r="S248" s="20">
        <f>(R248-$D$12)/$E$12</f>
        <v/>
      </c>
      <c r="T248" s="18">
        <f>(H248-B248)*100</f>
        <v/>
      </c>
      <c r="U248" s="20">
        <f>(T248-$D$13)/$E$13</f>
        <v/>
      </c>
      <c r="V248" s="18">
        <f>(H248-D248)*100</f>
        <v/>
      </c>
      <c r="W248" s="20">
        <f>(V248-$D$14)/$E$14</f>
        <v/>
      </c>
      <c r="X248" s="18">
        <f>(J248-H248)*100</f>
        <v/>
      </c>
      <c r="Y248" s="20">
        <f>(X248-$D$15)/$E$15</f>
        <v/>
      </c>
      <c r="Z248" s="18">
        <f>(J248-B248)*100</f>
        <v/>
      </c>
      <c r="AA248" s="20">
        <f>(Z248-$D$16)/$E$16</f>
        <v/>
      </c>
      <c r="AB248" s="18">
        <f>(2*F248-B248-H248)*100</f>
        <v/>
      </c>
      <c r="AC248" s="20">
        <f>(AB248-$D$17)/$E$17</f>
        <v/>
      </c>
      <c r="AD248" s="18">
        <f>L248-L249</f>
        <v/>
      </c>
      <c r="AE248" s="18">
        <f>N248-N249</f>
        <v/>
      </c>
      <c r="AF248" s="18">
        <f>P248-P249</f>
        <v/>
      </c>
      <c r="AG248" s="18">
        <f>R248-R249</f>
        <v/>
      </c>
      <c r="AH248" s="18">
        <f>T248-T249</f>
        <v/>
      </c>
      <c r="AI248" s="18">
        <f>V248-V249</f>
        <v/>
      </c>
      <c r="AJ248" s="18">
        <f>X248-X249</f>
        <v/>
      </c>
      <c r="AK248" s="18">
        <f>Z248-Z249</f>
        <v/>
      </c>
      <c r="AL248" s="18">
        <f>AB248-AB249</f>
        <v/>
      </c>
    </row>
    <row r="249">
      <c r="A249" s="16" t="n">
        <v>45940</v>
      </c>
      <c r="B249" s="17" t="n">
        <v>3.52</v>
      </c>
      <c r="C249" s="18">
        <f>(B249-B250)*100</f>
        <v/>
      </c>
      <c r="D249" s="17" t="n">
        <v>3.52</v>
      </c>
      <c r="E249" s="18">
        <f>(D249-D250)*100</f>
        <v/>
      </c>
      <c r="F249" s="17" t="n">
        <v>3.65</v>
      </c>
      <c r="G249" s="18">
        <f>(F249-F250)*100</f>
        <v/>
      </c>
      <c r="H249" s="17" t="n">
        <v>4.05</v>
      </c>
      <c r="I249" s="18">
        <f>(H249-H250)*100</f>
        <v/>
      </c>
      <c r="J249" s="17" t="n">
        <v>4.63</v>
      </c>
      <c r="K249" s="18">
        <f>(J249-J250)*100</f>
        <v/>
      </c>
      <c r="L249" s="18">
        <f>(F249-B249)*100</f>
        <v/>
      </c>
      <c r="M249" s="20">
        <f>(L249-$D$9)/$E$9</f>
        <v/>
      </c>
      <c r="N249" s="18">
        <f>(F249-D249)*100</f>
        <v/>
      </c>
      <c r="O249" s="20">
        <f>(N249-$D$10)/$E$10</f>
        <v/>
      </c>
      <c r="P249" s="18">
        <f>(H249-F249)*100</f>
        <v/>
      </c>
      <c r="Q249" s="20">
        <f>(P249-$D$11)/$E$11</f>
        <v/>
      </c>
      <c r="R249" s="18">
        <f>(J249-F249)*100</f>
        <v/>
      </c>
      <c r="S249" s="20">
        <f>(R249-$D$12)/$E$12</f>
        <v/>
      </c>
      <c r="T249" s="18">
        <f>(H249-B249)*100</f>
        <v/>
      </c>
      <c r="U249" s="20">
        <f>(T249-$D$13)/$E$13</f>
        <v/>
      </c>
      <c r="V249" s="18">
        <f>(H249-D249)*100</f>
        <v/>
      </c>
      <c r="W249" s="20">
        <f>(V249-$D$14)/$E$14</f>
        <v/>
      </c>
      <c r="X249" s="18">
        <f>(J249-H249)*100</f>
        <v/>
      </c>
      <c r="Y249" s="20">
        <f>(X249-$D$15)/$E$15</f>
        <v/>
      </c>
      <c r="Z249" s="18">
        <f>(J249-B249)*100</f>
        <v/>
      </c>
      <c r="AA249" s="20">
        <f>(Z249-$D$16)/$E$16</f>
        <v/>
      </c>
      <c r="AB249" s="18">
        <f>(2*F249-B249-H249)*100</f>
        <v/>
      </c>
      <c r="AC249" s="20">
        <f>(AB249-$D$17)/$E$17</f>
        <v/>
      </c>
      <c r="AD249" s="18">
        <f>L249-L250</f>
        <v/>
      </c>
      <c r="AE249" s="18">
        <f>N249-N250</f>
        <v/>
      </c>
      <c r="AF249" s="18">
        <f>P249-P250</f>
        <v/>
      </c>
      <c r="AG249" s="18">
        <f>R249-R250</f>
        <v/>
      </c>
      <c r="AH249" s="18">
        <f>T249-T250</f>
        <v/>
      </c>
      <c r="AI249" s="18">
        <f>V249-V250</f>
        <v/>
      </c>
      <c r="AJ249" s="18">
        <f>X249-X250</f>
        <v/>
      </c>
      <c r="AK249" s="18">
        <f>Z249-Z250</f>
        <v/>
      </c>
      <c r="AL249" s="18">
        <f>AB249-AB250</f>
        <v/>
      </c>
    </row>
    <row r="250">
      <c r="A250" s="16" t="n">
        <v>45939</v>
      </c>
      <c r="B250" s="17" t="n">
        <v>3.6</v>
      </c>
      <c r="C250" s="18">
        <f>(B250-B251)*100</f>
        <v/>
      </c>
      <c r="D250" s="17" t="n">
        <v>3.59</v>
      </c>
      <c r="E250" s="18">
        <f>(D250-D251)*100</f>
        <v/>
      </c>
      <c r="F250" s="17" t="n">
        <v>3.74</v>
      </c>
      <c r="G250" s="18">
        <f>(F250-F251)*100</f>
        <v/>
      </c>
      <c r="H250" s="17" t="n">
        <v>4.14</v>
      </c>
      <c r="I250" s="18">
        <f>(H250-H251)*100</f>
        <v/>
      </c>
      <c r="J250" s="17" t="n">
        <v>4.72</v>
      </c>
      <c r="K250" s="18">
        <f>(J250-J251)*100</f>
        <v/>
      </c>
      <c r="L250" s="18">
        <f>(F250-B250)*100</f>
        <v/>
      </c>
      <c r="M250" s="20">
        <f>(L250-$D$9)/$E$9</f>
        <v/>
      </c>
      <c r="N250" s="18">
        <f>(F250-D250)*100</f>
        <v/>
      </c>
      <c r="O250" s="20">
        <f>(N250-$D$10)/$E$10</f>
        <v/>
      </c>
      <c r="P250" s="18">
        <f>(H250-F250)*100</f>
        <v/>
      </c>
      <c r="Q250" s="20">
        <f>(P250-$D$11)/$E$11</f>
        <v/>
      </c>
      <c r="R250" s="18">
        <f>(J250-F250)*100</f>
        <v/>
      </c>
      <c r="S250" s="20">
        <f>(R250-$D$12)/$E$12</f>
        <v/>
      </c>
      <c r="T250" s="18">
        <f>(H250-B250)*100</f>
        <v/>
      </c>
      <c r="U250" s="20">
        <f>(T250-$D$13)/$E$13</f>
        <v/>
      </c>
      <c r="V250" s="18">
        <f>(H250-D250)*100</f>
        <v/>
      </c>
      <c r="W250" s="20">
        <f>(V250-$D$14)/$E$14</f>
        <v/>
      </c>
      <c r="X250" s="18">
        <f>(J250-H250)*100</f>
        <v/>
      </c>
      <c r="Y250" s="20">
        <f>(X250-$D$15)/$E$15</f>
        <v/>
      </c>
      <c r="Z250" s="18">
        <f>(J250-B250)*100</f>
        <v/>
      </c>
      <c r="AA250" s="20">
        <f>(Z250-$D$16)/$E$16</f>
        <v/>
      </c>
      <c r="AB250" s="18">
        <f>(2*F250-B250-H250)*100</f>
        <v/>
      </c>
      <c r="AC250" s="20">
        <f>(AB250-$D$17)/$E$17</f>
        <v/>
      </c>
      <c r="AD250" s="18">
        <f>L250-L251</f>
        <v/>
      </c>
      <c r="AE250" s="18">
        <f>N250-N251</f>
        <v/>
      </c>
      <c r="AF250" s="18">
        <f>P250-P251</f>
        <v/>
      </c>
      <c r="AG250" s="18">
        <f>R250-R251</f>
        <v/>
      </c>
      <c r="AH250" s="18">
        <f>T250-T251</f>
        <v/>
      </c>
      <c r="AI250" s="18">
        <f>V250-V251</f>
        <v/>
      </c>
      <c r="AJ250" s="18">
        <f>X250-X251</f>
        <v/>
      </c>
      <c r="AK250" s="18">
        <f>Z250-Z251</f>
        <v/>
      </c>
      <c r="AL250" s="18">
        <f>AB250-AB251</f>
        <v/>
      </c>
    </row>
    <row r="251">
      <c r="A251" s="16" t="n">
        <v>45938</v>
      </c>
      <c r="B251" s="17" t="n">
        <v>3.58</v>
      </c>
      <c r="C251" s="18">
        <f>(B251-B252)*100</f>
        <v/>
      </c>
      <c r="D251" s="17" t="n">
        <v>3.58</v>
      </c>
      <c r="E251" s="18">
        <f>(D251-D252)*100</f>
        <v/>
      </c>
      <c r="F251" s="17" t="n">
        <v>3.72</v>
      </c>
      <c r="G251" s="18">
        <f>(F251-F252)*100</f>
        <v/>
      </c>
      <c r="H251" s="17" t="n">
        <v>4.13</v>
      </c>
      <c r="I251" s="18">
        <f>(H251-H252)*100</f>
        <v/>
      </c>
      <c r="J251" s="17" t="n">
        <v>4.72</v>
      </c>
      <c r="K251" s="18">
        <f>(J251-J252)*100</f>
        <v/>
      </c>
      <c r="L251" s="18">
        <f>(F251-B251)*100</f>
        <v/>
      </c>
      <c r="M251" s="20">
        <f>(L251-$D$9)/$E$9</f>
        <v/>
      </c>
      <c r="N251" s="18">
        <f>(F251-D251)*100</f>
        <v/>
      </c>
      <c r="O251" s="20">
        <f>(N251-$D$10)/$E$10</f>
        <v/>
      </c>
      <c r="P251" s="18">
        <f>(H251-F251)*100</f>
        <v/>
      </c>
      <c r="Q251" s="20">
        <f>(P251-$D$11)/$E$11</f>
        <v/>
      </c>
      <c r="R251" s="18">
        <f>(J251-F251)*100</f>
        <v/>
      </c>
      <c r="S251" s="20">
        <f>(R251-$D$12)/$E$12</f>
        <v/>
      </c>
      <c r="T251" s="18">
        <f>(H251-B251)*100</f>
        <v/>
      </c>
      <c r="U251" s="20">
        <f>(T251-$D$13)/$E$13</f>
        <v/>
      </c>
      <c r="V251" s="18">
        <f>(H251-D251)*100</f>
        <v/>
      </c>
      <c r="W251" s="20">
        <f>(V251-$D$14)/$E$14</f>
        <v/>
      </c>
      <c r="X251" s="18">
        <f>(J251-H251)*100</f>
        <v/>
      </c>
      <c r="Y251" s="20">
        <f>(X251-$D$15)/$E$15</f>
        <v/>
      </c>
      <c r="Z251" s="18">
        <f>(J251-B251)*100</f>
        <v/>
      </c>
      <c r="AA251" s="20">
        <f>(Z251-$D$16)/$E$16</f>
        <v/>
      </c>
      <c r="AB251" s="18">
        <f>(2*F251-B251-H251)*100</f>
        <v/>
      </c>
      <c r="AC251" s="20">
        <f>(AB251-$D$17)/$E$17</f>
        <v/>
      </c>
      <c r="AD251" s="18">
        <f>L251-L252</f>
        <v/>
      </c>
      <c r="AE251" s="18">
        <f>N251-N252</f>
        <v/>
      </c>
      <c r="AF251" s="18">
        <f>P251-P252</f>
        <v/>
      </c>
      <c r="AG251" s="18">
        <f>R251-R252</f>
        <v/>
      </c>
      <c r="AH251" s="18">
        <f>T251-T252</f>
        <v/>
      </c>
      <c r="AI251" s="18">
        <f>V251-V252</f>
        <v/>
      </c>
      <c r="AJ251" s="18">
        <f>X251-X252</f>
        <v/>
      </c>
      <c r="AK251" s="18">
        <f>Z251-Z252</f>
        <v/>
      </c>
      <c r="AL251" s="18">
        <f>AB251-AB252</f>
        <v/>
      </c>
    </row>
    <row r="252">
      <c r="A252" s="16" t="n">
        <v>45937</v>
      </c>
      <c r="B252" s="17" t="n">
        <v>3.57</v>
      </c>
      <c r="C252" s="18">
        <f>(B252-B253)*100</f>
        <v/>
      </c>
      <c r="D252" s="17" t="n">
        <v>3.56</v>
      </c>
      <c r="E252" s="18">
        <f>(D252-D253)*100</f>
        <v/>
      </c>
      <c r="F252" s="17" t="n">
        <v>3.71</v>
      </c>
      <c r="G252" s="18">
        <f>(F252-F253)*100</f>
        <v/>
      </c>
      <c r="H252" s="17" t="n">
        <v>4.14</v>
      </c>
      <c r="I252" s="18">
        <f>(H252-H253)*100</f>
        <v/>
      </c>
      <c r="J252" s="17" t="n">
        <v>4.73</v>
      </c>
      <c r="K252" s="18">
        <f>(J252-J253)*100</f>
        <v/>
      </c>
      <c r="L252" s="18">
        <f>(F252-B252)*100</f>
        <v/>
      </c>
      <c r="M252" s="20">
        <f>(L252-$D$9)/$E$9</f>
        <v/>
      </c>
      <c r="N252" s="18">
        <f>(F252-D252)*100</f>
        <v/>
      </c>
      <c r="O252" s="20">
        <f>(N252-$D$10)/$E$10</f>
        <v/>
      </c>
      <c r="P252" s="18">
        <f>(H252-F252)*100</f>
        <v/>
      </c>
      <c r="Q252" s="20">
        <f>(P252-$D$11)/$E$11</f>
        <v/>
      </c>
      <c r="R252" s="18">
        <f>(J252-F252)*100</f>
        <v/>
      </c>
      <c r="S252" s="20">
        <f>(R252-$D$12)/$E$12</f>
        <v/>
      </c>
      <c r="T252" s="18">
        <f>(H252-B252)*100</f>
        <v/>
      </c>
      <c r="U252" s="20">
        <f>(T252-$D$13)/$E$13</f>
        <v/>
      </c>
      <c r="V252" s="18">
        <f>(H252-D252)*100</f>
        <v/>
      </c>
      <c r="W252" s="20">
        <f>(V252-$D$14)/$E$14</f>
        <v/>
      </c>
      <c r="X252" s="18">
        <f>(J252-H252)*100</f>
        <v/>
      </c>
      <c r="Y252" s="20">
        <f>(X252-$D$15)/$E$15</f>
        <v/>
      </c>
      <c r="Z252" s="18">
        <f>(J252-B252)*100</f>
        <v/>
      </c>
      <c r="AA252" s="20">
        <f>(Z252-$D$16)/$E$16</f>
        <v/>
      </c>
      <c r="AB252" s="18">
        <f>(2*F252-B252-H252)*100</f>
        <v/>
      </c>
      <c r="AC252" s="20">
        <f>(AB252-$D$17)/$E$17</f>
        <v/>
      </c>
      <c r="AD252" s="18">
        <f>L252-L253</f>
        <v/>
      </c>
      <c r="AE252" s="18">
        <f>N252-N253</f>
        <v/>
      </c>
      <c r="AF252" s="18">
        <f>P252-P253</f>
        <v/>
      </c>
      <c r="AG252" s="18">
        <f>R252-R253</f>
        <v/>
      </c>
      <c r="AH252" s="18">
        <f>T252-T253</f>
        <v/>
      </c>
      <c r="AI252" s="18">
        <f>V252-V253</f>
        <v/>
      </c>
      <c r="AJ252" s="18">
        <f>X252-X253</f>
        <v/>
      </c>
      <c r="AK252" s="18">
        <f>Z252-Z253</f>
        <v/>
      </c>
      <c r="AL252" s="18">
        <f>AB252-AB253</f>
        <v/>
      </c>
    </row>
    <row r="253">
      <c r="A253" s="16" t="n">
        <v>45936</v>
      </c>
      <c r="B253" s="17" t="n">
        <v>3.6</v>
      </c>
      <c r="C253" s="18">
        <f>(B253-B254)*100</f>
        <v/>
      </c>
      <c r="D253" s="17" t="n">
        <v>3.63</v>
      </c>
      <c r="E253" s="18">
        <f>(D253-D254)*100</f>
        <v/>
      </c>
      <c r="F253" s="17" t="n">
        <v>3.75</v>
      </c>
      <c r="G253" s="18">
        <f>(F253-F254)*100</f>
        <v/>
      </c>
      <c r="H253" s="17" t="n">
        <v>4.18</v>
      </c>
      <c r="I253" s="18">
        <f>(H253-H254)*100</f>
        <v/>
      </c>
      <c r="J253" s="17" t="n">
        <v>4.76</v>
      </c>
      <c r="K253" s="18">
        <f>(J253-J254)*100</f>
        <v/>
      </c>
      <c r="L253" s="18">
        <f>(F253-B253)*100</f>
        <v/>
      </c>
      <c r="M253" s="20">
        <f>(L253-$D$9)/$E$9</f>
        <v/>
      </c>
      <c r="N253" s="18">
        <f>(F253-D253)*100</f>
        <v/>
      </c>
      <c r="O253" s="20">
        <f>(N253-$D$10)/$E$10</f>
        <v/>
      </c>
      <c r="P253" s="18">
        <f>(H253-F253)*100</f>
        <v/>
      </c>
      <c r="Q253" s="20">
        <f>(P253-$D$11)/$E$11</f>
        <v/>
      </c>
      <c r="R253" s="18">
        <f>(J253-F253)*100</f>
        <v/>
      </c>
      <c r="S253" s="20">
        <f>(R253-$D$12)/$E$12</f>
        <v/>
      </c>
      <c r="T253" s="18">
        <f>(H253-B253)*100</f>
        <v/>
      </c>
      <c r="U253" s="20">
        <f>(T253-$D$13)/$E$13</f>
        <v/>
      </c>
      <c r="V253" s="18">
        <f>(H253-D253)*100</f>
        <v/>
      </c>
      <c r="W253" s="20">
        <f>(V253-$D$14)/$E$14</f>
        <v/>
      </c>
      <c r="X253" s="18">
        <f>(J253-H253)*100</f>
        <v/>
      </c>
      <c r="Y253" s="20">
        <f>(X253-$D$15)/$E$15</f>
        <v/>
      </c>
      <c r="Z253" s="18">
        <f>(J253-B253)*100</f>
        <v/>
      </c>
      <c r="AA253" s="20">
        <f>(Z253-$D$16)/$E$16</f>
        <v/>
      </c>
      <c r="AB253" s="18">
        <f>(2*F253-B253-H253)*100</f>
        <v/>
      </c>
      <c r="AC253" s="20">
        <f>(AB253-$D$17)/$E$17</f>
        <v/>
      </c>
      <c r="AD253" s="18">
        <f>L253-L254</f>
        <v/>
      </c>
      <c r="AE253" s="18">
        <f>N253-N254</f>
        <v/>
      </c>
      <c r="AF253" s="18">
        <f>P253-P254</f>
        <v/>
      </c>
      <c r="AG253" s="18">
        <f>R253-R254</f>
        <v/>
      </c>
      <c r="AH253" s="18">
        <f>T253-T254</f>
        <v/>
      </c>
      <c r="AI253" s="18">
        <f>V253-V254</f>
        <v/>
      </c>
      <c r="AJ253" s="18">
        <f>X253-X254</f>
        <v/>
      </c>
      <c r="AK253" s="18">
        <f>Z253-Z254</f>
        <v/>
      </c>
      <c r="AL253" s="18">
        <f>AB253-AB254</f>
        <v/>
      </c>
    </row>
    <row r="254">
      <c r="A254" s="16" t="n">
        <v>45933</v>
      </c>
      <c r="B254" s="17" t="n">
        <v>3.58</v>
      </c>
      <c r="C254" s="18">
        <f>(B254-B255)*100</f>
        <v/>
      </c>
      <c r="D254" s="17" t="n">
        <v>3.59</v>
      </c>
      <c r="E254" s="18">
        <f>(D254-D255)*100</f>
        <v/>
      </c>
      <c r="F254" s="17" t="n">
        <v>3.72</v>
      </c>
      <c r="G254" s="18">
        <f>(F254-F255)*100</f>
        <v/>
      </c>
      <c r="H254" s="17" t="n">
        <v>4.13</v>
      </c>
      <c r="I254" s="18">
        <f>(H254-H255)*100</f>
        <v/>
      </c>
      <c r="J254" s="17" t="n">
        <v>4.71</v>
      </c>
      <c r="K254" s="18">
        <f>(J254-J255)*100</f>
        <v/>
      </c>
      <c r="L254" s="18">
        <f>(F254-B254)*100</f>
        <v/>
      </c>
      <c r="M254" s="20">
        <f>(L254-$D$9)/$E$9</f>
        <v/>
      </c>
      <c r="N254" s="18">
        <f>(F254-D254)*100</f>
        <v/>
      </c>
      <c r="O254" s="20">
        <f>(N254-$D$10)/$E$10</f>
        <v/>
      </c>
      <c r="P254" s="18">
        <f>(H254-F254)*100</f>
        <v/>
      </c>
      <c r="Q254" s="20">
        <f>(P254-$D$11)/$E$11</f>
        <v/>
      </c>
      <c r="R254" s="18">
        <f>(J254-F254)*100</f>
        <v/>
      </c>
      <c r="S254" s="20">
        <f>(R254-$D$12)/$E$12</f>
        <v/>
      </c>
      <c r="T254" s="18">
        <f>(H254-B254)*100</f>
        <v/>
      </c>
      <c r="U254" s="20">
        <f>(T254-$D$13)/$E$13</f>
        <v/>
      </c>
      <c r="V254" s="18">
        <f>(H254-D254)*100</f>
        <v/>
      </c>
      <c r="W254" s="20">
        <f>(V254-$D$14)/$E$14</f>
        <v/>
      </c>
      <c r="X254" s="18">
        <f>(J254-H254)*100</f>
        <v/>
      </c>
      <c r="Y254" s="20">
        <f>(X254-$D$15)/$E$15</f>
        <v/>
      </c>
      <c r="Z254" s="18">
        <f>(J254-B254)*100</f>
        <v/>
      </c>
      <c r="AA254" s="20">
        <f>(Z254-$D$16)/$E$16</f>
        <v/>
      </c>
      <c r="AB254" s="18">
        <f>(2*F254-B254-H254)*100</f>
        <v/>
      </c>
      <c r="AC254" s="20">
        <f>(AB254-$D$17)/$E$17</f>
        <v/>
      </c>
      <c r="AD254" s="18">
        <f>L254-L255</f>
        <v/>
      </c>
      <c r="AE254" s="18">
        <f>N254-N255</f>
        <v/>
      </c>
      <c r="AF254" s="18">
        <f>P254-P255</f>
        <v/>
      </c>
      <c r="AG254" s="18">
        <f>R254-R255</f>
        <v/>
      </c>
      <c r="AH254" s="18">
        <f>T254-T255</f>
        <v/>
      </c>
      <c r="AI254" s="18">
        <f>V254-V255</f>
        <v/>
      </c>
      <c r="AJ254" s="18">
        <f>X254-X255</f>
        <v/>
      </c>
      <c r="AK254" s="18">
        <f>Z254-Z255</f>
        <v/>
      </c>
      <c r="AL254" s="18">
        <f>AB254-AB255</f>
        <v/>
      </c>
    </row>
    <row r="255">
      <c r="A255" s="16" t="n">
        <v>45932</v>
      </c>
      <c r="B255" s="17" t="n">
        <v>3.55</v>
      </c>
      <c r="C255" s="18">
        <f>(B255-B256)*100</f>
        <v/>
      </c>
      <c r="D255" s="17" t="n">
        <v>3.56</v>
      </c>
      <c r="E255" s="18">
        <f>(D255-D256)*100</f>
        <v/>
      </c>
      <c r="F255" s="17" t="n">
        <v>3.67</v>
      </c>
      <c r="G255" s="18">
        <f>(F255-F256)*100</f>
        <v/>
      </c>
      <c r="H255" s="17" t="n">
        <v>4.1</v>
      </c>
      <c r="I255" s="18">
        <f>(H255-H256)*100</f>
        <v/>
      </c>
      <c r="J255" s="17" t="n">
        <v>4.69</v>
      </c>
      <c r="K255" s="18">
        <f>(J255-J256)*100</f>
        <v/>
      </c>
      <c r="L255" s="18">
        <f>(F255-B255)*100</f>
        <v/>
      </c>
      <c r="M255" s="20">
        <f>(L255-$D$9)/$E$9</f>
        <v/>
      </c>
      <c r="N255" s="18">
        <f>(F255-D255)*100</f>
        <v/>
      </c>
      <c r="O255" s="20">
        <f>(N255-$D$10)/$E$10</f>
        <v/>
      </c>
      <c r="P255" s="18">
        <f>(H255-F255)*100</f>
        <v/>
      </c>
      <c r="Q255" s="20">
        <f>(P255-$D$11)/$E$11</f>
        <v/>
      </c>
      <c r="R255" s="18">
        <f>(J255-F255)*100</f>
        <v/>
      </c>
      <c r="S255" s="20">
        <f>(R255-$D$12)/$E$12</f>
        <v/>
      </c>
      <c r="T255" s="18">
        <f>(H255-B255)*100</f>
        <v/>
      </c>
      <c r="U255" s="20">
        <f>(T255-$D$13)/$E$13</f>
        <v/>
      </c>
      <c r="V255" s="18">
        <f>(H255-D255)*100</f>
        <v/>
      </c>
      <c r="W255" s="20">
        <f>(V255-$D$14)/$E$14</f>
        <v/>
      </c>
      <c r="X255" s="18">
        <f>(J255-H255)*100</f>
        <v/>
      </c>
      <c r="Y255" s="20">
        <f>(X255-$D$15)/$E$15</f>
        <v/>
      </c>
      <c r="Z255" s="18">
        <f>(J255-B255)*100</f>
        <v/>
      </c>
      <c r="AA255" s="20">
        <f>(Z255-$D$16)/$E$16</f>
        <v/>
      </c>
      <c r="AB255" s="18">
        <f>(2*F255-B255-H255)*100</f>
        <v/>
      </c>
      <c r="AC255" s="20">
        <f>(AB255-$D$17)/$E$17</f>
        <v/>
      </c>
      <c r="AD255" s="18">
        <f>L255-L256</f>
        <v/>
      </c>
      <c r="AE255" s="18">
        <f>N255-N256</f>
        <v/>
      </c>
      <c r="AF255" s="18">
        <f>P255-P256</f>
        <v/>
      </c>
      <c r="AG255" s="18">
        <f>R255-R256</f>
        <v/>
      </c>
      <c r="AH255" s="18">
        <f>T255-T256</f>
        <v/>
      </c>
      <c r="AI255" s="18">
        <f>V255-V256</f>
        <v/>
      </c>
      <c r="AJ255" s="18">
        <f>X255-X256</f>
        <v/>
      </c>
      <c r="AK255" s="18">
        <f>Z255-Z256</f>
        <v/>
      </c>
      <c r="AL255" s="18">
        <f>AB255-AB256</f>
        <v/>
      </c>
    </row>
    <row r="256">
      <c r="A256" s="16" t="n">
        <v>45931</v>
      </c>
      <c r="B256" s="17" t="n">
        <v>3.55</v>
      </c>
      <c r="C256" s="18">
        <f>(B256-B257)*100</f>
        <v/>
      </c>
      <c r="D256" s="17" t="n">
        <v>3.56</v>
      </c>
      <c r="E256" s="18">
        <f>(D256-D257)*100</f>
        <v/>
      </c>
      <c r="F256" s="17" t="n">
        <v>3.68</v>
      </c>
      <c r="G256" s="18">
        <f>(F256-F257)*100</f>
        <v/>
      </c>
      <c r="H256" s="17" t="n">
        <v>4.12</v>
      </c>
      <c r="I256" s="18">
        <f>(H256-H257)*100</f>
        <v/>
      </c>
      <c r="J256" s="17" t="n">
        <v>4.72</v>
      </c>
      <c r="K256" s="18">
        <f>(J256-J257)*100</f>
        <v/>
      </c>
      <c r="L256" s="18">
        <f>(F256-B256)*100</f>
        <v/>
      </c>
      <c r="M256" s="20">
        <f>(L256-$D$9)/$E$9</f>
        <v/>
      </c>
      <c r="N256" s="18">
        <f>(F256-D256)*100</f>
        <v/>
      </c>
      <c r="O256" s="20">
        <f>(N256-$D$10)/$E$10</f>
        <v/>
      </c>
      <c r="P256" s="18">
        <f>(H256-F256)*100</f>
        <v/>
      </c>
      <c r="Q256" s="20">
        <f>(P256-$D$11)/$E$11</f>
        <v/>
      </c>
      <c r="R256" s="18">
        <f>(J256-F256)*100</f>
        <v/>
      </c>
      <c r="S256" s="20">
        <f>(R256-$D$12)/$E$12</f>
        <v/>
      </c>
      <c r="T256" s="18">
        <f>(H256-B256)*100</f>
        <v/>
      </c>
      <c r="U256" s="20">
        <f>(T256-$D$13)/$E$13</f>
        <v/>
      </c>
      <c r="V256" s="18">
        <f>(H256-D256)*100</f>
        <v/>
      </c>
      <c r="W256" s="20">
        <f>(V256-$D$14)/$E$14</f>
        <v/>
      </c>
      <c r="X256" s="18">
        <f>(J256-H256)*100</f>
        <v/>
      </c>
      <c r="Y256" s="20">
        <f>(X256-$D$15)/$E$15</f>
        <v/>
      </c>
      <c r="Z256" s="18">
        <f>(J256-B256)*100</f>
        <v/>
      </c>
      <c r="AA256" s="20">
        <f>(Z256-$D$16)/$E$16</f>
        <v/>
      </c>
      <c r="AB256" s="18">
        <f>(2*F256-B256-H256)*100</f>
        <v/>
      </c>
      <c r="AC256" s="20">
        <f>(AB256-$D$17)/$E$17</f>
        <v/>
      </c>
      <c r="AD256" s="18">
        <f>L256-L257</f>
        <v/>
      </c>
      <c r="AE256" s="18">
        <f>N256-N257</f>
        <v/>
      </c>
      <c r="AF256" s="18">
        <f>P256-P257</f>
        <v/>
      </c>
      <c r="AG256" s="18">
        <f>R256-R257</f>
        <v/>
      </c>
      <c r="AH256" s="18">
        <f>T256-T257</f>
        <v/>
      </c>
      <c r="AI256" s="18">
        <f>V256-V257</f>
        <v/>
      </c>
      <c r="AJ256" s="18">
        <f>X256-X257</f>
        <v/>
      </c>
      <c r="AK256" s="18">
        <f>Z256-Z257</f>
        <v/>
      </c>
      <c r="AL256" s="18">
        <f>AB256-AB257</f>
        <v/>
      </c>
    </row>
    <row r="257">
      <c r="A257" s="16" t="n">
        <v>45930</v>
      </c>
      <c r="B257" s="17" t="n">
        <v>3.6</v>
      </c>
      <c r="C257" s="18">
        <f>(B257-B258)*100</f>
        <v/>
      </c>
      <c r="D257" s="17" t="n">
        <v>3.61</v>
      </c>
      <c r="E257" s="18">
        <f>(D257-D258)*100</f>
        <v/>
      </c>
      <c r="F257" s="17" t="n">
        <v>3.74</v>
      </c>
      <c r="G257" s="18">
        <f>(F257-F258)*100</f>
        <v/>
      </c>
      <c r="H257" s="17" t="n">
        <v>4.16</v>
      </c>
      <c r="I257" s="18">
        <f>(H257-H258)*100</f>
        <v/>
      </c>
      <c r="J257" s="17" t="n">
        <v>4.73</v>
      </c>
      <c r="K257" s="18">
        <f>(J257-J258)*100</f>
        <v/>
      </c>
      <c r="L257" s="18">
        <f>(F257-B257)*100</f>
        <v/>
      </c>
      <c r="M257" s="20">
        <f>(L257-$D$9)/$E$9</f>
        <v/>
      </c>
      <c r="N257" s="18">
        <f>(F257-D257)*100</f>
        <v/>
      </c>
      <c r="O257" s="20">
        <f>(N257-$D$10)/$E$10</f>
        <v/>
      </c>
      <c r="P257" s="18">
        <f>(H257-F257)*100</f>
        <v/>
      </c>
      <c r="Q257" s="20">
        <f>(P257-$D$11)/$E$11</f>
        <v/>
      </c>
      <c r="R257" s="18">
        <f>(J257-F257)*100</f>
        <v/>
      </c>
      <c r="S257" s="20">
        <f>(R257-$D$12)/$E$12</f>
        <v/>
      </c>
      <c r="T257" s="18">
        <f>(H257-B257)*100</f>
        <v/>
      </c>
      <c r="U257" s="20">
        <f>(T257-$D$13)/$E$13</f>
        <v/>
      </c>
      <c r="V257" s="18">
        <f>(H257-D257)*100</f>
        <v/>
      </c>
      <c r="W257" s="20">
        <f>(V257-$D$14)/$E$14</f>
        <v/>
      </c>
      <c r="X257" s="18">
        <f>(J257-H257)*100</f>
        <v/>
      </c>
      <c r="Y257" s="20">
        <f>(X257-$D$15)/$E$15</f>
        <v/>
      </c>
      <c r="Z257" s="18">
        <f>(J257-B257)*100</f>
        <v/>
      </c>
      <c r="AA257" s="20">
        <f>(Z257-$D$16)/$E$16</f>
        <v/>
      </c>
      <c r="AB257" s="18">
        <f>(2*F257-B257-H257)*100</f>
        <v/>
      </c>
      <c r="AC257" s="20">
        <f>(AB257-$D$17)/$E$17</f>
        <v/>
      </c>
      <c r="AD257" s="18">
        <f>L257-L258</f>
        <v/>
      </c>
      <c r="AE257" s="18">
        <f>N257-N258</f>
        <v/>
      </c>
      <c r="AF257" s="18">
        <f>P257-P258</f>
        <v/>
      </c>
      <c r="AG257" s="18">
        <f>R257-R258</f>
        <v/>
      </c>
      <c r="AH257" s="18">
        <f>T257-T258</f>
        <v/>
      </c>
      <c r="AI257" s="18">
        <f>V257-V258</f>
        <v/>
      </c>
      <c r="AJ257" s="18">
        <f>X257-X258</f>
        <v/>
      </c>
      <c r="AK257" s="18">
        <f>Z257-Z258</f>
        <v/>
      </c>
      <c r="AL257" s="18">
        <f>AB257-AB258</f>
        <v/>
      </c>
    </row>
    <row r="258">
      <c r="A258" s="16" t="n">
        <v>45929</v>
      </c>
      <c r="B258" s="17" t="n">
        <v>3.63</v>
      </c>
      <c r="C258" s="18">
        <f>(B258-B259)*100</f>
        <v/>
      </c>
      <c r="D258" s="17" t="n">
        <v>3.63</v>
      </c>
      <c r="E258" s="18">
        <f>(D258-D259)*100</f>
        <v/>
      </c>
      <c r="F258" s="17" t="n">
        <v>3.74</v>
      </c>
      <c r="G258" s="18">
        <f>(F258-F259)*100</f>
        <v/>
      </c>
      <c r="H258" s="17" t="n">
        <v>4.15</v>
      </c>
      <c r="I258" s="18">
        <f>(H258-H259)*100</f>
        <v/>
      </c>
      <c r="J258" s="17" t="n">
        <v>4.71</v>
      </c>
      <c r="K258" s="18">
        <f>(J258-J259)*100</f>
        <v/>
      </c>
      <c r="L258" s="18">
        <f>(F258-B258)*100</f>
        <v/>
      </c>
      <c r="M258" s="20">
        <f>(L258-$D$9)/$E$9</f>
        <v/>
      </c>
      <c r="N258" s="18">
        <f>(F258-D258)*100</f>
        <v/>
      </c>
      <c r="O258" s="20">
        <f>(N258-$D$10)/$E$10</f>
        <v/>
      </c>
      <c r="P258" s="18">
        <f>(H258-F258)*100</f>
        <v/>
      </c>
      <c r="Q258" s="20">
        <f>(P258-$D$11)/$E$11</f>
        <v/>
      </c>
      <c r="R258" s="18">
        <f>(J258-F258)*100</f>
        <v/>
      </c>
      <c r="S258" s="20">
        <f>(R258-$D$12)/$E$12</f>
        <v/>
      </c>
      <c r="T258" s="18">
        <f>(H258-B258)*100</f>
        <v/>
      </c>
      <c r="U258" s="20">
        <f>(T258-$D$13)/$E$13</f>
        <v/>
      </c>
      <c r="V258" s="18">
        <f>(H258-D258)*100</f>
        <v/>
      </c>
      <c r="W258" s="20">
        <f>(V258-$D$14)/$E$14</f>
        <v/>
      </c>
      <c r="X258" s="18">
        <f>(J258-H258)*100</f>
        <v/>
      </c>
      <c r="Y258" s="20">
        <f>(X258-$D$15)/$E$15</f>
        <v/>
      </c>
      <c r="Z258" s="18">
        <f>(J258-B258)*100</f>
        <v/>
      </c>
      <c r="AA258" s="20">
        <f>(Z258-$D$16)/$E$16</f>
        <v/>
      </c>
      <c r="AB258" s="18">
        <f>(2*F258-B258-H258)*100</f>
        <v/>
      </c>
      <c r="AC258" s="20">
        <f>(AB258-$D$17)/$E$17</f>
        <v/>
      </c>
      <c r="AD258" s="18">
        <f>L258-L259</f>
        <v/>
      </c>
      <c r="AE258" s="18">
        <f>N258-N259</f>
        <v/>
      </c>
      <c r="AF258" s="18">
        <f>P258-P259</f>
        <v/>
      </c>
      <c r="AG258" s="18">
        <f>R258-R259</f>
        <v/>
      </c>
      <c r="AH258" s="18">
        <f>T258-T259</f>
        <v/>
      </c>
      <c r="AI258" s="18">
        <f>V258-V259</f>
        <v/>
      </c>
      <c r="AJ258" s="18">
        <f>X258-X259</f>
        <v/>
      </c>
      <c r="AK258" s="18">
        <f>Z258-Z259</f>
        <v/>
      </c>
      <c r="AL258" s="18">
        <f>AB258-AB259</f>
        <v/>
      </c>
    </row>
    <row r="259">
      <c r="A259" s="16" t="n">
        <v>45926</v>
      </c>
      <c r="B259" s="17" t="n">
        <v>3.63</v>
      </c>
      <c r="C259" s="18">
        <f>(B259-B260)*100</f>
        <v/>
      </c>
      <c r="D259" s="17" t="n">
        <v>3.66</v>
      </c>
      <c r="E259" s="18">
        <f>(D259-D260)*100</f>
        <v/>
      </c>
      <c r="F259" s="17" t="n">
        <v>3.76</v>
      </c>
      <c r="G259" s="18">
        <f>(F259-F260)*100</f>
        <v/>
      </c>
      <c r="H259" s="17" t="n">
        <v>4.2</v>
      </c>
      <c r="I259" s="18">
        <f>(H259-H260)*100</f>
        <v/>
      </c>
      <c r="J259" s="17" t="n">
        <v>4.77</v>
      </c>
      <c r="K259" s="18">
        <f>(J259-J260)*100</f>
        <v/>
      </c>
      <c r="L259" s="18">
        <f>(F259-B259)*100</f>
        <v/>
      </c>
      <c r="M259" s="20">
        <f>(L259-$D$9)/$E$9</f>
        <v/>
      </c>
      <c r="N259" s="18">
        <f>(F259-D259)*100</f>
        <v/>
      </c>
      <c r="O259" s="20">
        <f>(N259-$D$10)/$E$10</f>
        <v/>
      </c>
      <c r="P259" s="18">
        <f>(H259-F259)*100</f>
        <v/>
      </c>
      <c r="Q259" s="20">
        <f>(P259-$D$11)/$E$11</f>
        <v/>
      </c>
      <c r="R259" s="18">
        <f>(J259-F259)*100</f>
        <v/>
      </c>
      <c r="S259" s="20">
        <f>(R259-$D$12)/$E$12</f>
        <v/>
      </c>
      <c r="T259" s="18">
        <f>(H259-B259)*100</f>
        <v/>
      </c>
      <c r="U259" s="20">
        <f>(T259-$D$13)/$E$13</f>
        <v/>
      </c>
      <c r="V259" s="18">
        <f>(H259-D259)*100</f>
        <v/>
      </c>
      <c r="W259" s="20">
        <f>(V259-$D$14)/$E$14</f>
        <v/>
      </c>
      <c r="X259" s="18">
        <f>(J259-H259)*100</f>
        <v/>
      </c>
      <c r="Y259" s="20">
        <f>(X259-$D$15)/$E$15</f>
        <v/>
      </c>
      <c r="Z259" s="18">
        <f>(J259-B259)*100</f>
        <v/>
      </c>
      <c r="AA259" s="20">
        <f>(Z259-$D$16)/$E$16</f>
        <v/>
      </c>
      <c r="AB259" s="18">
        <f>(2*F259-B259-H259)*100</f>
        <v/>
      </c>
      <c r="AC259" s="20">
        <f>(AB259-$D$17)/$E$17</f>
        <v/>
      </c>
      <c r="AD259" s="18">
        <f>L259-L260</f>
        <v/>
      </c>
      <c r="AE259" s="18">
        <f>N259-N260</f>
        <v/>
      </c>
      <c r="AF259" s="18">
        <f>P259-P260</f>
        <v/>
      </c>
      <c r="AG259" s="18">
        <f>R259-R260</f>
        <v/>
      </c>
      <c r="AH259" s="18">
        <f>T259-T260</f>
        <v/>
      </c>
      <c r="AI259" s="18">
        <f>V259-V260</f>
        <v/>
      </c>
      <c r="AJ259" s="18">
        <f>X259-X260</f>
        <v/>
      </c>
      <c r="AK259" s="18">
        <f>Z259-Z260</f>
        <v/>
      </c>
      <c r="AL259" s="18">
        <f>AB259-AB260</f>
        <v/>
      </c>
    </row>
    <row r="260">
      <c r="A260" s="16" t="n">
        <v>45925</v>
      </c>
      <c r="B260" s="17" t="n">
        <v>3.64</v>
      </c>
      <c r="C260" s="18">
        <f>(B260-B261)*100</f>
        <v/>
      </c>
      <c r="D260" s="17" t="n">
        <v>3.66</v>
      </c>
      <c r="E260" s="18">
        <f>(D260-D261)*100</f>
        <v/>
      </c>
      <c r="F260" s="17" t="n">
        <v>3.75</v>
      </c>
      <c r="G260" s="18">
        <f>(F260-F261)*100</f>
        <v/>
      </c>
      <c r="H260" s="17" t="n">
        <v>4.18</v>
      </c>
      <c r="I260" s="18">
        <f>(H260-H261)*100</f>
        <v/>
      </c>
      <c r="J260" s="17" t="n">
        <v>4.75</v>
      </c>
      <c r="K260" s="18">
        <f>(J260-J261)*100</f>
        <v/>
      </c>
      <c r="L260" s="18">
        <f>(F260-B260)*100</f>
        <v/>
      </c>
      <c r="M260" s="20">
        <f>(L260-$D$9)/$E$9</f>
        <v/>
      </c>
      <c r="N260" s="18">
        <f>(F260-D260)*100</f>
        <v/>
      </c>
      <c r="O260" s="20">
        <f>(N260-$D$10)/$E$10</f>
        <v/>
      </c>
      <c r="P260" s="18">
        <f>(H260-F260)*100</f>
        <v/>
      </c>
      <c r="Q260" s="20">
        <f>(P260-$D$11)/$E$11</f>
        <v/>
      </c>
      <c r="R260" s="18">
        <f>(J260-F260)*100</f>
        <v/>
      </c>
      <c r="S260" s="20">
        <f>(R260-$D$12)/$E$12</f>
        <v/>
      </c>
      <c r="T260" s="18">
        <f>(H260-B260)*100</f>
        <v/>
      </c>
      <c r="U260" s="20">
        <f>(T260-$D$13)/$E$13</f>
        <v/>
      </c>
      <c r="V260" s="18">
        <f>(H260-D260)*100</f>
        <v/>
      </c>
      <c r="W260" s="20">
        <f>(V260-$D$14)/$E$14</f>
        <v/>
      </c>
      <c r="X260" s="18">
        <f>(J260-H260)*100</f>
        <v/>
      </c>
      <c r="Y260" s="20">
        <f>(X260-$D$15)/$E$15</f>
        <v/>
      </c>
      <c r="Z260" s="18">
        <f>(J260-B260)*100</f>
        <v/>
      </c>
      <c r="AA260" s="20">
        <f>(Z260-$D$16)/$E$16</f>
        <v/>
      </c>
      <c r="AB260" s="18">
        <f>(2*F260-B260-H260)*100</f>
        <v/>
      </c>
      <c r="AC260" s="20">
        <f>(AB260-$D$17)/$E$17</f>
        <v/>
      </c>
      <c r="AD260" s="18">
        <f>L260-L261</f>
        <v/>
      </c>
      <c r="AE260" s="18">
        <f>N260-N261</f>
        <v/>
      </c>
      <c r="AF260" s="18">
        <f>P260-P261</f>
        <v/>
      </c>
      <c r="AG260" s="18">
        <f>R260-R261</f>
        <v/>
      </c>
      <c r="AH260" s="18">
        <f>T260-T261</f>
        <v/>
      </c>
      <c r="AI260" s="18">
        <f>V260-V261</f>
        <v/>
      </c>
      <c r="AJ260" s="18">
        <f>X260-X261</f>
        <v/>
      </c>
      <c r="AK260" s="18">
        <f>Z260-Z261</f>
        <v/>
      </c>
      <c r="AL260" s="18">
        <f>AB260-AB261</f>
        <v/>
      </c>
    </row>
    <row r="261">
      <c r="A261" s="16" t="n">
        <v>45924</v>
      </c>
      <c r="B261" s="17" t="n">
        <v>3.57</v>
      </c>
      <c r="C261" s="18">
        <f>(B261-B262)*100</f>
        <v/>
      </c>
      <c r="D261" s="17" t="n">
        <v>3.6</v>
      </c>
      <c r="E261" s="18">
        <f>(D261-D262)*100</f>
        <v/>
      </c>
      <c r="F261" s="17" t="n">
        <v>3.7</v>
      </c>
      <c r="G261" s="18">
        <f>(F261-F262)*100</f>
        <v/>
      </c>
      <c r="H261" s="17" t="n">
        <v>4.16</v>
      </c>
      <c r="I261" s="18">
        <f>(H261-H262)*100</f>
        <v/>
      </c>
      <c r="J261" s="17" t="n">
        <v>4.76</v>
      </c>
      <c r="K261" s="18">
        <f>(J261-J262)*100</f>
        <v/>
      </c>
      <c r="L261" s="18">
        <f>(F261-B261)*100</f>
        <v/>
      </c>
      <c r="M261" s="20">
        <f>(L261-$D$9)/$E$9</f>
        <v/>
      </c>
      <c r="N261" s="18">
        <f>(F261-D261)*100</f>
        <v/>
      </c>
      <c r="O261" s="20">
        <f>(N261-$D$10)/$E$10</f>
        <v/>
      </c>
      <c r="P261" s="18">
        <f>(H261-F261)*100</f>
        <v/>
      </c>
      <c r="Q261" s="20">
        <f>(P261-$D$11)/$E$11</f>
        <v/>
      </c>
      <c r="R261" s="18">
        <f>(J261-F261)*100</f>
        <v/>
      </c>
      <c r="S261" s="20">
        <f>(R261-$D$12)/$E$12</f>
        <v/>
      </c>
      <c r="T261" s="18">
        <f>(H261-B261)*100</f>
        <v/>
      </c>
      <c r="U261" s="20">
        <f>(T261-$D$13)/$E$13</f>
        <v/>
      </c>
      <c r="V261" s="18">
        <f>(H261-D261)*100</f>
        <v/>
      </c>
      <c r="W261" s="20">
        <f>(V261-$D$14)/$E$14</f>
        <v/>
      </c>
      <c r="X261" s="18">
        <f>(J261-H261)*100</f>
        <v/>
      </c>
      <c r="Y261" s="20">
        <f>(X261-$D$15)/$E$15</f>
        <v/>
      </c>
      <c r="Z261" s="18">
        <f>(J261-B261)*100</f>
        <v/>
      </c>
      <c r="AA261" s="20">
        <f>(Z261-$D$16)/$E$16</f>
        <v/>
      </c>
      <c r="AB261" s="18">
        <f>(2*F261-B261-H261)*100</f>
        <v/>
      </c>
      <c r="AC261" s="20">
        <f>(AB261-$D$17)/$E$17</f>
        <v/>
      </c>
      <c r="AD261" s="18">
        <f>L261-L262</f>
        <v/>
      </c>
      <c r="AE261" s="18">
        <f>N261-N262</f>
        <v/>
      </c>
      <c r="AF261" s="18">
        <f>P261-P262</f>
        <v/>
      </c>
      <c r="AG261" s="18">
        <f>R261-R262</f>
        <v/>
      </c>
      <c r="AH261" s="18">
        <f>T261-T262</f>
        <v/>
      </c>
      <c r="AI261" s="18">
        <f>V261-V262</f>
        <v/>
      </c>
      <c r="AJ261" s="18">
        <f>X261-X262</f>
        <v/>
      </c>
      <c r="AK261" s="18">
        <f>Z261-Z262</f>
        <v/>
      </c>
      <c r="AL261" s="18">
        <f>AB261-AB262</f>
        <v/>
      </c>
    </row>
    <row r="262">
      <c r="A262" s="16" t="n">
        <v>45923</v>
      </c>
      <c r="B262" s="17" t="n">
        <v>3.53</v>
      </c>
      <c r="C262" s="18">
        <f>(B262-B263)*100</f>
        <v/>
      </c>
      <c r="D262" s="17" t="n">
        <v>3.57</v>
      </c>
      <c r="E262" s="18">
        <f>(D262-D263)*100</f>
        <v/>
      </c>
      <c r="F262" s="17" t="n">
        <v>3.68</v>
      </c>
      <c r="G262" s="18">
        <f>(F262-F263)*100</f>
        <v/>
      </c>
      <c r="H262" s="17" t="n">
        <v>4.12</v>
      </c>
      <c r="I262" s="18">
        <f>(H262-H263)*100</f>
        <v/>
      </c>
      <c r="J262" s="17" t="n">
        <v>4.73</v>
      </c>
      <c r="K262" s="18">
        <f>(J262-J263)*100</f>
        <v/>
      </c>
      <c r="L262" s="18">
        <f>(F262-B262)*100</f>
        <v/>
      </c>
      <c r="M262" s="20">
        <f>(L262-$D$9)/$E$9</f>
        <v/>
      </c>
      <c r="N262" s="18">
        <f>(F262-D262)*100</f>
        <v/>
      </c>
      <c r="O262" s="20">
        <f>(N262-$D$10)/$E$10</f>
        <v/>
      </c>
      <c r="P262" s="18">
        <f>(H262-F262)*100</f>
        <v/>
      </c>
      <c r="Q262" s="20">
        <f>(P262-$D$11)/$E$11</f>
        <v/>
      </c>
      <c r="R262" s="18">
        <f>(J262-F262)*100</f>
        <v/>
      </c>
      <c r="S262" s="20">
        <f>(R262-$D$12)/$E$12</f>
        <v/>
      </c>
      <c r="T262" s="18">
        <f>(H262-B262)*100</f>
        <v/>
      </c>
      <c r="U262" s="20">
        <f>(T262-$D$13)/$E$13</f>
        <v/>
      </c>
      <c r="V262" s="18">
        <f>(H262-D262)*100</f>
        <v/>
      </c>
      <c r="W262" s="20">
        <f>(V262-$D$14)/$E$14</f>
        <v/>
      </c>
      <c r="X262" s="18">
        <f>(J262-H262)*100</f>
        <v/>
      </c>
      <c r="Y262" s="20">
        <f>(X262-$D$15)/$E$15</f>
        <v/>
      </c>
      <c r="Z262" s="18">
        <f>(J262-B262)*100</f>
        <v/>
      </c>
      <c r="AA262" s="20">
        <f>(Z262-$D$16)/$E$16</f>
        <v/>
      </c>
      <c r="AB262" s="18">
        <f>(2*F262-B262-H262)*100</f>
        <v/>
      </c>
      <c r="AC262" s="20">
        <f>(AB262-$D$17)/$E$17</f>
        <v/>
      </c>
      <c r="AD262" s="18">
        <f>L262-L263</f>
        <v/>
      </c>
      <c r="AE262" s="18">
        <f>N262-N263</f>
        <v/>
      </c>
      <c r="AF262" s="18">
        <f>P262-P263</f>
        <v/>
      </c>
      <c r="AG262" s="18">
        <f>R262-R263</f>
        <v/>
      </c>
      <c r="AH262" s="18">
        <f>T262-T263</f>
        <v/>
      </c>
      <c r="AI262" s="18">
        <f>V262-V263</f>
        <v/>
      </c>
      <c r="AJ262" s="18">
        <f>X262-X263</f>
        <v/>
      </c>
      <c r="AK262" s="18">
        <f>Z262-Z263</f>
        <v/>
      </c>
      <c r="AL262" s="18">
        <f>AB262-AB263</f>
        <v/>
      </c>
    </row>
    <row r="263">
      <c r="A263" s="16" t="n">
        <v>45922</v>
      </c>
      <c r="B263" s="17" t="n">
        <v>3.61</v>
      </c>
      <c r="C263" s="18">
        <f>(B263-B264)*100</f>
        <v/>
      </c>
      <c r="D263" s="17" t="n">
        <v>3.59</v>
      </c>
      <c r="E263" s="18">
        <f>(D263-D264)*100</f>
        <v/>
      </c>
      <c r="F263" s="17" t="n">
        <v>3.71</v>
      </c>
      <c r="G263" s="18">
        <f>(F263-F264)*100</f>
        <v/>
      </c>
      <c r="H263" s="17" t="n">
        <v>4.15</v>
      </c>
      <c r="I263" s="18">
        <f>(H263-H264)*100</f>
        <v/>
      </c>
      <c r="J263" s="17" t="n">
        <v>4.77</v>
      </c>
      <c r="K263" s="18">
        <f>(J263-J264)*100</f>
        <v/>
      </c>
      <c r="L263" s="18">
        <f>(F263-B263)*100</f>
        <v/>
      </c>
      <c r="M263" s="20">
        <f>(L263-$D$9)/$E$9</f>
        <v/>
      </c>
      <c r="N263" s="18">
        <f>(F263-D263)*100</f>
        <v/>
      </c>
      <c r="O263" s="20">
        <f>(N263-$D$10)/$E$10</f>
        <v/>
      </c>
      <c r="P263" s="18">
        <f>(H263-F263)*100</f>
        <v/>
      </c>
      <c r="Q263" s="20">
        <f>(P263-$D$11)/$E$11</f>
        <v/>
      </c>
      <c r="R263" s="18">
        <f>(J263-F263)*100</f>
        <v/>
      </c>
      <c r="S263" s="20">
        <f>(R263-$D$12)/$E$12</f>
        <v/>
      </c>
      <c r="T263" s="18">
        <f>(H263-B263)*100</f>
        <v/>
      </c>
      <c r="U263" s="20">
        <f>(T263-$D$13)/$E$13</f>
        <v/>
      </c>
      <c r="V263" s="18">
        <f>(H263-D263)*100</f>
        <v/>
      </c>
      <c r="W263" s="20">
        <f>(V263-$D$14)/$E$14</f>
        <v/>
      </c>
      <c r="X263" s="18">
        <f>(J263-H263)*100</f>
        <v/>
      </c>
      <c r="Y263" s="20">
        <f>(X263-$D$15)/$E$15</f>
        <v/>
      </c>
      <c r="Z263" s="18">
        <f>(J263-B263)*100</f>
        <v/>
      </c>
      <c r="AA263" s="20">
        <f>(Z263-$D$16)/$E$16</f>
        <v/>
      </c>
      <c r="AB263" s="18">
        <f>(2*F263-B263-H263)*100</f>
        <v/>
      </c>
      <c r="AC263" s="20">
        <f>(AB263-$D$17)/$E$17</f>
        <v/>
      </c>
      <c r="AD263" s="18">
        <f>L263-L264</f>
        <v/>
      </c>
      <c r="AE263" s="18">
        <f>N263-N264</f>
        <v/>
      </c>
      <c r="AF263" s="18">
        <f>P263-P264</f>
        <v/>
      </c>
      <c r="AG263" s="18">
        <f>R263-R264</f>
        <v/>
      </c>
      <c r="AH263" s="18">
        <f>T263-T264</f>
        <v/>
      </c>
      <c r="AI263" s="18">
        <f>V263-V264</f>
        <v/>
      </c>
      <c r="AJ263" s="18">
        <f>X263-X264</f>
        <v/>
      </c>
      <c r="AK263" s="18">
        <f>Z263-Z264</f>
        <v/>
      </c>
      <c r="AL263" s="18">
        <f>AB263-AB264</f>
        <v/>
      </c>
    </row>
    <row r="264">
      <c r="A264" s="16" t="n">
        <v>45919</v>
      </c>
      <c r="B264" s="17" t="n">
        <v>3.57</v>
      </c>
      <c r="C264" s="18">
        <f>(B264-B265)*100</f>
        <v/>
      </c>
      <c r="D264" s="17" t="n">
        <v>3.56</v>
      </c>
      <c r="E264" s="18">
        <f>(D264-D265)*100</f>
        <v/>
      </c>
      <c r="F264" s="17" t="n">
        <v>3.68</v>
      </c>
      <c r="G264" s="18">
        <f>(F264-F265)*100</f>
        <v/>
      </c>
      <c r="H264" s="17" t="n">
        <v>4.14</v>
      </c>
      <c r="I264" s="18">
        <f>(H264-H265)*100</f>
        <v/>
      </c>
      <c r="J264" s="17" t="n">
        <v>4.75</v>
      </c>
      <c r="K264" s="18">
        <f>(J264-J265)*100</f>
        <v/>
      </c>
      <c r="L264" s="18">
        <f>(F264-B264)*100</f>
        <v/>
      </c>
      <c r="M264" s="20">
        <f>(L264-$D$9)/$E$9</f>
        <v/>
      </c>
      <c r="N264" s="18">
        <f>(F264-D264)*100</f>
        <v/>
      </c>
      <c r="O264" s="20">
        <f>(N264-$D$10)/$E$10</f>
        <v/>
      </c>
      <c r="P264" s="18">
        <f>(H264-F264)*100</f>
        <v/>
      </c>
      <c r="Q264" s="20">
        <f>(P264-$D$11)/$E$11</f>
        <v/>
      </c>
      <c r="R264" s="18">
        <f>(J264-F264)*100</f>
        <v/>
      </c>
      <c r="S264" s="20">
        <f>(R264-$D$12)/$E$12</f>
        <v/>
      </c>
      <c r="T264" s="18">
        <f>(H264-B264)*100</f>
        <v/>
      </c>
      <c r="U264" s="20">
        <f>(T264-$D$13)/$E$13</f>
        <v/>
      </c>
      <c r="V264" s="18">
        <f>(H264-D264)*100</f>
        <v/>
      </c>
      <c r="W264" s="20">
        <f>(V264-$D$14)/$E$14</f>
        <v/>
      </c>
      <c r="X264" s="18">
        <f>(J264-H264)*100</f>
        <v/>
      </c>
      <c r="Y264" s="20">
        <f>(X264-$D$15)/$E$15</f>
        <v/>
      </c>
      <c r="Z264" s="18">
        <f>(J264-B264)*100</f>
        <v/>
      </c>
      <c r="AA264" s="20">
        <f>(Z264-$D$16)/$E$16</f>
        <v/>
      </c>
      <c r="AB264" s="18">
        <f>(2*F264-B264-H264)*100</f>
        <v/>
      </c>
      <c r="AC264" s="20">
        <f>(AB264-$D$17)/$E$17</f>
        <v/>
      </c>
      <c r="AD264" s="18">
        <f>L264-L265</f>
        <v/>
      </c>
      <c r="AE264" s="18">
        <f>N264-N265</f>
        <v/>
      </c>
      <c r="AF264" s="18">
        <f>P264-P265</f>
        <v/>
      </c>
      <c r="AG264" s="18">
        <f>R264-R265</f>
        <v/>
      </c>
      <c r="AH264" s="18">
        <f>T264-T265</f>
        <v/>
      </c>
      <c r="AI264" s="18">
        <f>V264-V265</f>
        <v/>
      </c>
      <c r="AJ264" s="18">
        <f>X264-X265</f>
        <v/>
      </c>
      <c r="AK264" s="18">
        <f>Z264-Z265</f>
        <v/>
      </c>
      <c r="AL264" s="18">
        <f>AB264-AB265</f>
        <v/>
      </c>
    </row>
    <row r="265">
      <c r="A265" s="16" t="n">
        <v>45918</v>
      </c>
      <c r="B265" s="17" t="n">
        <v>3.57</v>
      </c>
      <c r="C265" s="18">
        <f>(B265-B266)*100</f>
        <v/>
      </c>
      <c r="D265" s="17" t="n">
        <v>3.55</v>
      </c>
      <c r="E265" s="18">
        <f>(D265-D266)*100</f>
        <v/>
      </c>
      <c r="F265" s="17" t="n">
        <v>3.67</v>
      </c>
      <c r="G265" s="18">
        <f>(F265-F266)*100</f>
        <v/>
      </c>
      <c r="H265" s="17" t="n">
        <v>4.11</v>
      </c>
      <c r="I265" s="18">
        <f>(H265-H266)*100</f>
        <v/>
      </c>
      <c r="J265" s="17" t="n">
        <v>4.72</v>
      </c>
      <c r="K265" s="18">
        <f>(J265-J266)*100</f>
        <v/>
      </c>
      <c r="L265" s="18">
        <f>(F265-B265)*100</f>
        <v/>
      </c>
      <c r="M265" s="20">
        <f>(L265-$D$9)/$E$9</f>
        <v/>
      </c>
      <c r="N265" s="18">
        <f>(F265-D265)*100</f>
        <v/>
      </c>
      <c r="O265" s="20">
        <f>(N265-$D$10)/$E$10</f>
        <v/>
      </c>
      <c r="P265" s="18">
        <f>(H265-F265)*100</f>
        <v/>
      </c>
      <c r="Q265" s="20">
        <f>(P265-$D$11)/$E$11</f>
        <v/>
      </c>
      <c r="R265" s="18">
        <f>(J265-F265)*100</f>
        <v/>
      </c>
      <c r="S265" s="20">
        <f>(R265-$D$12)/$E$12</f>
        <v/>
      </c>
      <c r="T265" s="18">
        <f>(H265-B265)*100</f>
        <v/>
      </c>
      <c r="U265" s="20">
        <f>(T265-$D$13)/$E$13</f>
        <v/>
      </c>
      <c r="V265" s="18">
        <f>(H265-D265)*100</f>
        <v/>
      </c>
      <c r="W265" s="20">
        <f>(V265-$D$14)/$E$14</f>
        <v/>
      </c>
      <c r="X265" s="18">
        <f>(J265-H265)*100</f>
        <v/>
      </c>
      <c r="Y265" s="20">
        <f>(X265-$D$15)/$E$15</f>
        <v/>
      </c>
      <c r="Z265" s="18">
        <f>(J265-B265)*100</f>
        <v/>
      </c>
      <c r="AA265" s="20">
        <f>(Z265-$D$16)/$E$16</f>
        <v/>
      </c>
      <c r="AB265" s="18">
        <f>(2*F265-B265-H265)*100</f>
        <v/>
      </c>
      <c r="AC265" s="20">
        <f>(AB265-$D$17)/$E$17</f>
        <v/>
      </c>
      <c r="AD265" s="18">
        <f>L265-L266</f>
        <v/>
      </c>
      <c r="AE265" s="18">
        <f>N265-N266</f>
        <v/>
      </c>
      <c r="AF265" s="18">
        <f>P265-P266</f>
        <v/>
      </c>
      <c r="AG265" s="18">
        <f>R265-R266</f>
        <v/>
      </c>
      <c r="AH265" s="18">
        <f>T265-T266</f>
        <v/>
      </c>
      <c r="AI265" s="18">
        <f>V265-V266</f>
        <v/>
      </c>
      <c r="AJ265" s="18">
        <f>X265-X266</f>
        <v/>
      </c>
      <c r="AK265" s="18">
        <f>Z265-Z266</f>
        <v/>
      </c>
      <c r="AL265" s="18">
        <f>AB265-AB266</f>
        <v/>
      </c>
    </row>
    <row r="266">
      <c r="A266" s="16" t="n">
        <v>45917</v>
      </c>
      <c r="B266" s="17" t="n">
        <v>3.52</v>
      </c>
      <c r="C266" s="18">
        <f>(B266-B267)*100</f>
        <v/>
      </c>
      <c r="D266" s="17" t="n">
        <v>3.51</v>
      </c>
      <c r="E266" s="18">
        <f>(D266-D267)*100</f>
        <v/>
      </c>
      <c r="F266" s="17" t="n">
        <v>3.62</v>
      </c>
      <c r="G266" s="18">
        <f>(F266-F267)*100</f>
        <v/>
      </c>
      <c r="H266" s="17" t="n">
        <v>4.06</v>
      </c>
      <c r="I266" s="18">
        <f>(H266-H267)*100</f>
        <v/>
      </c>
      <c r="J266" s="17" t="n">
        <v>4.66</v>
      </c>
      <c r="K266" s="18">
        <f>(J266-J267)*100</f>
        <v/>
      </c>
      <c r="L266" s="18">
        <f>(F266-B266)*100</f>
        <v/>
      </c>
      <c r="M266" s="20">
        <f>(L266-$D$9)/$E$9</f>
        <v/>
      </c>
      <c r="N266" s="18">
        <f>(F266-D266)*100</f>
        <v/>
      </c>
      <c r="O266" s="20">
        <f>(N266-$D$10)/$E$10</f>
        <v/>
      </c>
      <c r="P266" s="18">
        <f>(H266-F266)*100</f>
        <v/>
      </c>
      <c r="Q266" s="20">
        <f>(P266-$D$11)/$E$11</f>
        <v/>
      </c>
      <c r="R266" s="18">
        <f>(J266-F266)*100</f>
        <v/>
      </c>
      <c r="S266" s="20">
        <f>(R266-$D$12)/$E$12</f>
        <v/>
      </c>
      <c r="T266" s="18">
        <f>(H266-B266)*100</f>
        <v/>
      </c>
      <c r="U266" s="20">
        <f>(T266-$D$13)/$E$13</f>
        <v/>
      </c>
      <c r="V266" s="18">
        <f>(H266-D266)*100</f>
        <v/>
      </c>
      <c r="W266" s="20">
        <f>(V266-$D$14)/$E$14</f>
        <v/>
      </c>
      <c r="X266" s="18">
        <f>(J266-H266)*100</f>
        <v/>
      </c>
      <c r="Y266" s="20">
        <f>(X266-$D$15)/$E$15</f>
        <v/>
      </c>
      <c r="Z266" s="18">
        <f>(J266-B266)*100</f>
        <v/>
      </c>
      <c r="AA266" s="20">
        <f>(Z266-$D$16)/$E$16</f>
        <v/>
      </c>
      <c r="AB266" s="18">
        <f>(2*F266-B266-H266)*100</f>
        <v/>
      </c>
      <c r="AC266" s="20">
        <f>(AB266-$D$17)/$E$17</f>
        <v/>
      </c>
      <c r="AD266" s="18">
        <f>L266-L267</f>
        <v/>
      </c>
      <c r="AE266" s="18">
        <f>N266-N267</f>
        <v/>
      </c>
      <c r="AF266" s="18">
        <f>P266-P267</f>
        <v/>
      </c>
      <c r="AG266" s="18">
        <f>R266-R267</f>
        <v/>
      </c>
      <c r="AH266" s="18">
        <f>T266-T267</f>
        <v/>
      </c>
      <c r="AI266" s="18">
        <f>V266-V267</f>
        <v/>
      </c>
      <c r="AJ266" s="18">
        <f>X266-X267</f>
        <v/>
      </c>
      <c r="AK266" s="18">
        <f>Z266-Z267</f>
        <v/>
      </c>
      <c r="AL266" s="18">
        <f>AB266-AB267</f>
        <v/>
      </c>
    </row>
    <row r="267">
      <c r="A267" s="16" t="n">
        <v>45916</v>
      </c>
      <c r="B267" s="17" t="n">
        <v>3.51</v>
      </c>
      <c r="C267" s="18">
        <f>(B267-B268)*100</f>
        <v/>
      </c>
      <c r="D267" s="17" t="n">
        <v>3.47</v>
      </c>
      <c r="E267" s="18">
        <f>(D267-D268)*100</f>
        <v/>
      </c>
      <c r="F267" s="17" t="n">
        <v>3.59</v>
      </c>
      <c r="G267" s="18">
        <f>(F267-F268)*100</f>
        <v/>
      </c>
      <c r="H267" s="17" t="n">
        <v>4.04</v>
      </c>
      <c r="I267" s="18">
        <f>(H267-H268)*100</f>
        <v/>
      </c>
      <c r="J267" s="17" t="n">
        <v>4.65</v>
      </c>
      <c r="K267" s="18">
        <f>(J267-J268)*100</f>
        <v/>
      </c>
      <c r="L267" s="18">
        <f>(F267-B267)*100</f>
        <v/>
      </c>
      <c r="M267" s="20">
        <f>(L267-$D$9)/$E$9</f>
        <v/>
      </c>
      <c r="N267" s="18">
        <f>(F267-D267)*100</f>
        <v/>
      </c>
      <c r="O267" s="20">
        <f>(N267-$D$10)/$E$10</f>
        <v/>
      </c>
      <c r="P267" s="18">
        <f>(H267-F267)*100</f>
        <v/>
      </c>
      <c r="Q267" s="20">
        <f>(P267-$D$11)/$E$11</f>
        <v/>
      </c>
      <c r="R267" s="18">
        <f>(J267-F267)*100</f>
        <v/>
      </c>
      <c r="S267" s="20">
        <f>(R267-$D$12)/$E$12</f>
        <v/>
      </c>
      <c r="T267" s="18">
        <f>(H267-B267)*100</f>
        <v/>
      </c>
      <c r="U267" s="20">
        <f>(T267-$D$13)/$E$13</f>
        <v/>
      </c>
      <c r="V267" s="18">
        <f>(H267-D267)*100</f>
        <v/>
      </c>
      <c r="W267" s="20">
        <f>(V267-$D$14)/$E$14</f>
        <v/>
      </c>
      <c r="X267" s="18">
        <f>(J267-H267)*100</f>
        <v/>
      </c>
      <c r="Y267" s="20">
        <f>(X267-$D$15)/$E$15</f>
        <v/>
      </c>
      <c r="Z267" s="18">
        <f>(J267-B267)*100</f>
        <v/>
      </c>
      <c r="AA267" s="20">
        <f>(Z267-$D$16)/$E$16</f>
        <v/>
      </c>
      <c r="AB267" s="18">
        <f>(2*F267-B267-H267)*100</f>
        <v/>
      </c>
      <c r="AC267" s="20">
        <f>(AB267-$D$17)/$E$17</f>
        <v/>
      </c>
      <c r="AD267" s="18">
        <f>L267-L268</f>
        <v/>
      </c>
      <c r="AE267" s="18">
        <f>N267-N268</f>
        <v/>
      </c>
      <c r="AF267" s="18">
        <f>P267-P268</f>
        <v/>
      </c>
      <c r="AG267" s="18">
        <f>R267-R268</f>
        <v/>
      </c>
      <c r="AH267" s="18">
        <f>T267-T268</f>
        <v/>
      </c>
      <c r="AI267" s="18">
        <f>V267-V268</f>
        <v/>
      </c>
      <c r="AJ267" s="18">
        <f>X267-X268</f>
        <v/>
      </c>
      <c r="AK267" s="18">
        <f>Z267-Z268</f>
        <v/>
      </c>
      <c r="AL267" s="18">
        <f>AB267-AB268</f>
        <v/>
      </c>
    </row>
    <row r="268">
      <c r="A268" s="16" t="n">
        <v>45915</v>
      </c>
      <c r="B268" s="17" t="n">
        <v>3.54</v>
      </c>
      <c r="C268" s="18">
        <f>(B268-B269)*100</f>
        <v/>
      </c>
      <c r="D268" s="17" t="n">
        <v>3.5</v>
      </c>
      <c r="E268" s="18">
        <f>(D268-D269)*100</f>
        <v/>
      </c>
      <c r="F268" s="17" t="n">
        <v>3.61</v>
      </c>
      <c r="G268" s="18">
        <f>(F268-F269)*100</f>
        <v/>
      </c>
      <c r="H268" s="17" t="n">
        <v>4.05</v>
      </c>
      <c r="I268" s="18">
        <f>(H268-H269)*100</f>
        <v/>
      </c>
      <c r="J268" s="17" t="n">
        <v>4.66</v>
      </c>
      <c r="K268" s="18">
        <f>(J268-J269)*100</f>
        <v/>
      </c>
      <c r="L268" s="18">
        <f>(F268-B268)*100</f>
        <v/>
      </c>
      <c r="M268" s="20">
        <f>(L268-$D$9)/$E$9</f>
        <v/>
      </c>
      <c r="N268" s="18">
        <f>(F268-D268)*100</f>
        <v/>
      </c>
      <c r="O268" s="20">
        <f>(N268-$D$10)/$E$10</f>
        <v/>
      </c>
      <c r="P268" s="18">
        <f>(H268-F268)*100</f>
        <v/>
      </c>
      <c r="Q268" s="20">
        <f>(P268-$D$11)/$E$11</f>
        <v/>
      </c>
      <c r="R268" s="18">
        <f>(J268-F268)*100</f>
        <v/>
      </c>
      <c r="S268" s="20">
        <f>(R268-$D$12)/$E$12</f>
        <v/>
      </c>
      <c r="T268" s="18">
        <f>(H268-B268)*100</f>
        <v/>
      </c>
      <c r="U268" s="20">
        <f>(T268-$D$13)/$E$13</f>
        <v/>
      </c>
      <c r="V268" s="18">
        <f>(H268-D268)*100</f>
        <v/>
      </c>
      <c r="W268" s="20">
        <f>(V268-$D$14)/$E$14</f>
        <v/>
      </c>
      <c r="X268" s="18">
        <f>(J268-H268)*100</f>
        <v/>
      </c>
      <c r="Y268" s="20">
        <f>(X268-$D$15)/$E$15</f>
        <v/>
      </c>
      <c r="Z268" s="18">
        <f>(J268-B268)*100</f>
        <v/>
      </c>
      <c r="AA268" s="20">
        <f>(Z268-$D$16)/$E$16</f>
        <v/>
      </c>
      <c r="AB268" s="18">
        <f>(2*F268-B268-H268)*100</f>
        <v/>
      </c>
      <c r="AC268" s="20">
        <f>(AB268-$D$17)/$E$17</f>
        <v/>
      </c>
      <c r="AD268" s="18">
        <f>L268-L269</f>
        <v/>
      </c>
      <c r="AE268" s="18">
        <f>N268-N269</f>
        <v/>
      </c>
      <c r="AF268" s="18">
        <f>P268-P269</f>
        <v/>
      </c>
      <c r="AG268" s="18">
        <f>R268-R269</f>
        <v/>
      </c>
      <c r="AH268" s="18">
        <f>T268-T269</f>
        <v/>
      </c>
      <c r="AI268" s="18">
        <f>V268-V269</f>
        <v/>
      </c>
      <c r="AJ268" s="18">
        <f>X268-X269</f>
        <v/>
      </c>
      <c r="AK268" s="18">
        <f>Z268-Z269</f>
        <v/>
      </c>
      <c r="AL268" s="18">
        <f>AB268-AB269</f>
        <v/>
      </c>
    </row>
    <row r="269">
      <c r="A269" s="16" t="n">
        <v>45912</v>
      </c>
      <c r="B269" s="17" t="n">
        <v>3.56</v>
      </c>
      <c r="C269" s="18">
        <f>(B269-B270)*100</f>
        <v/>
      </c>
      <c r="D269" s="17" t="n">
        <v>3.52</v>
      </c>
      <c r="E269" s="18">
        <f>(D269-D270)*100</f>
        <v/>
      </c>
      <c r="F269" s="17" t="n">
        <v>3.63</v>
      </c>
      <c r="G269" s="18">
        <f>(F269-F270)*100</f>
        <v/>
      </c>
      <c r="H269" s="17" t="n">
        <v>4.06</v>
      </c>
      <c r="I269" s="18">
        <f>(H269-H270)*100</f>
        <v/>
      </c>
      <c r="J269" s="17" t="n">
        <v>4.68</v>
      </c>
      <c r="K269" s="18">
        <f>(J269-J270)*100</f>
        <v/>
      </c>
      <c r="L269" s="18">
        <f>(F269-B269)*100</f>
        <v/>
      </c>
      <c r="M269" s="20">
        <f>(L269-$D$9)/$E$9</f>
        <v/>
      </c>
      <c r="N269" s="18">
        <f>(F269-D269)*100</f>
        <v/>
      </c>
      <c r="O269" s="20">
        <f>(N269-$D$10)/$E$10</f>
        <v/>
      </c>
      <c r="P269" s="18">
        <f>(H269-F269)*100</f>
        <v/>
      </c>
      <c r="Q269" s="20">
        <f>(P269-$D$11)/$E$11</f>
        <v/>
      </c>
      <c r="R269" s="18">
        <f>(J269-F269)*100</f>
        <v/>
      </c>
      <c r="S269" s="20">
        <f>(R269-$D$12)/$E$12</f>
        <v/>
      </c>
      <c r="T269" s="18">
        <f>(H269-B269)*100</f>
        <v/>
      </c>
      <c r="U269" s="20">
        <f>(T269-$D$13)/$E$13</f>
        <v/>
      </c>
      <c r="V269" s="18">
        <f>(H269-D269)*100</f>
        <v/>
      </c>
      <c r="W269" s="20">
        <f>(V269-$D$14)/$E$14</f>
        <v/>
      </c>
      <c r="X269" s="18">
        <f>(J269-H269)*100</f>
        <v/>
      </c>
      <c r="Y269" s="20">
        <f>(X269-$D$15)/$E$15</f>
        <v/>
      </c>
      <c r="Z269" s="18">
        <f>(J269-B269)*100</f>
        <v/>
      </c>
      <c r="AA269" s="20">
        <f>(Z269-$D$16)/$E$16</f>
        <v/>
      </c>
      <c r="AB269" s="18">
        <f>(2*F269-B269-H269)*100</f>
        <v/>
      </c>
      <c r="AC269" s="20">
        <f>(AB269-$D$17)/$E$17</f>
        <v/>
      </c>
      <c r="AD269" s="18">
        <f>L269-L270</f>
        <v/>
      </c>
      <c r="AE269" s="18">
        <f>N269-N270</f>
        <v/>
      </c>
      <c r="AF269" s="18">
        <f>P269-P270</f>
        <v/>
      </c>
      <c r="AG269" s="18">
        <f>R269-R270</f>
        <v/>
      </c>
      <c r="AH269" s="18">
        <f>T269-T270</f>
        <v/>
      </c>
      <c r="AI269" s="18">
        <f>V269-V270</f>
        <v/>
      </c>
      <c r="AJ269" s="18">
        <f>X269-X270</f>
        <v/>
      </c>
      <c r="AK269" s="18">
        <f>Z269-Z270</f>
        <v/>
      </c>
      <c r="AL269" s="18">
        <f>AB269-AB270</f>
        <v/>
      </c>
    </row>
    <row r="270">
      <c r="A270" s="16" t="n">
        <v>45911</v>
      </c>
      <c r="B270" s="17" t="n">
        <v>3.52</v>
      </c>
      <c r="C270" s="18">
        <f>(B270-B271)*100</f>
        <v/>
      </c>
      <c r="D270" s="17" t="n">
        <v>3.47</v>
      </c>
      <c r="E270" s="18">
        <f>(D270-D271)*100</f>
        <v/>
      </c>
      <c r="F270" s="17" t="n">
        <v>3.59</v>
      </c>
      <c r="G270" s="18">
        <f>(F270-F271)*100</f>
        <v/>
      </c>
      <c r="H270" s="17" t="n">
        <v>4.01</v>
      </c>
      <c r="I270" s="18">
        <f>(H270-H271)*100</f>
        <v/>
      </c>
      <c r="J270" s="17" t="n">
        <v>4.65</v>
      </c>
      <c r="K270" s="18">
        <f>(J270-J271)*100</f>
        <v/>
      </c>
      <c r="L270" s="18">
        <f>(F270-B270)*100</f>
        <v/>
      </c>
      <c r="M270" s="20">
        <f>(L270-$D$9)/$E$9</f>
        <v/>
      </c>
      <c r="N270" s="18">
        <f>(F270-D270)*100</f>
        <v/>
      </c>
      <c r="O270" s="20">
        <f>(N270-$D$10)/$E$10</f>
        <v/>
      </c>
      <c r="P270" s="18">
        <f>(H270-F270)*100</f>
        <v/>
      </c>
      <c r="Q270" s="20">
        <f>(P270-$D$11)/$E$11</f>
        <v/>
      </c>
      <c r="R270" s="18">
        <f>(J270-F270)*100</f>
        <v/>
      </c>
      <c r="S270" s="20">
        <f>(R270-$D$12)/$E$12</f>
        <v/>
      </c>
      <c r="T270" s="18">
        <f>(H270-B270)*100</f>
        <v/>
      </c>
      <c r="U270" s="20">
        <f>(T270-$D$13)/$E$13</f>
        <v/>
      </c>
      <c r="V270" s="18">
        <f>(H270-D270)*100</f>
        <v/>
      </c>
      <c r="W270" s="20">
        <f>(V270-$D$14)/$E$14</f>
        <v/>
      </c>
      <c r="X270" s="18">
        <f>(J270-H270)*100</f>
        <v/>
      </c>
      <c r="Y270" s="20">
        <f>(X270-$D$15)/$E$15</f>
        <v/>
      </c>
      <c r="Z270" s="18">
        <f>(J270-B270)*100</f>
        <v/>
      </c>
      <c r="AA270" s="20">
        <f>(Z270-$D$16)/$E$16</f>
        <v/>
      </c>
      <c r="AB270" s="18">
        <f>(2*F270-B270-H270)*100</f>
        <v/>
      </c>
      <c r="AC270" s="20">
        <f>(AB270-$D$17)/$E$17</f>
        <v/>
      </c>
      <c r="AD270" s="18">
        <f>L270-L271</f>
        <v/>
      </c>
      <c r="AE270" s="18">
        <f>N270-N271</f>
        <v/>
      </c>
      <c r="AF270" s="18">
        <f>P270-P271</f>
        <v/>
      </c>
      <c r="AG270" s="18">
        <f>R270-R271</f>
        <v/>
      </c>
      <c r="AH270" s="18">
        <f>T270-T271</f>
        <v/>
      </c>
      <c r="AI270" s="18">
        <f>V270-V271</f>
        <v/>
      </c>
      <c r="AJ270" s="18">
        <f>X270-X271</f>
        <v/>
      </c>
      <c r="AK270" s="18">
        <f>Z270-Z271</f>
        <v/>
      </c>
      <c r="AL270" s="18">
        <f>AB270-AB271</f>
        <v/>
      </c>
    </row>
    <row r="271">
      <c r="A271" s="16" t="n">
        <v>45910</v>
      </c>
      <c r="B271" s="17" t="n">
        <v>3.54</v>
      </c>
      <c r="C271" s="18">
        <f>(B271-B272)*100</f>
        <v/>
      </c>
      <c r="D271" s="17" t="n">
        <v>3.47</v>
      </c>
      <c r="E271" s="18">
        <f>(D271-D272)*100</f>
        <v/>
      </c>
      <c r="F271" s="17" t="n">
        <v>3.59</v>
      </c>
      <c r="G271" s="18">
        <f>(F271-F272)*100</f>
        <v/>
      </c>
      <c r="H271" s="17" t="n">
        <v>4.04</v>
      </c>
      <c r="I271" s="18">
        <f>(H271-H272)*100</f>
        <v/>
      </c>
      <c r="J271" s="17" t="n">
        <v>4.69</v>
      </c>
      <c r="K271" s="18">
        <f>(J271-J272)*100</f>
        <v/>
      </c>
      <c r="L271" s="18">
        <f>(F271-B271)*100</f>
        <v/>
      </c>
      <c r="M271" s="20">
        <f>(L271-$D$9)/$E$9</f>
        <v/>
      </c>
      <c r="N271" s="18">
        <f>(F271-D271)*100</f>
        <v/>
      </c>
      <c r="O271" s="20">
        <f>(N271-$D$10)/$E$10</f>
        <v/>
      </c>
      <c r="P271" s="18">
        <f>(H271-F271)*100</f>
        <v/>
      </c>
      <c r="Q271" s="20">
        <f>(P271-$D$11)/$E$11</f>
        <v/>
      </c>
      <c r="R271" s="18">
        <f>(J271-F271)*100</f>
        <v/>
      </c>
      <c r="S271" s="20">
        <f>(R271-$D$12)/$E$12</f>
        <v/>
      </c>
      <c r="T271" s="18">
        <f>(H271-B271)*100</f>
        <v/>
      </c>
      <c r="U271" s="20">
        <f>(T271-$D$13)/$E$13</f>
        <v/>
      </c>
      <c r="V271" s="18">
        <f>(H271-D271)*100</f>
        <v/>
      </c>
      <c r="W271" s="20">
        <f>(V271-$D$14)/$E$14</f>
        <v/>
      </c>
      <c r="X271" s="18">
        <f>(J271-H271)*100</f>
        <v/>
      </c>
      <c r="Y271" s="20">
        <f>(X271-$D$15)/$E$15</f>
        <v/>
      </c>
      <c r="Z271" s="18">
        <f>(J271-B271)*100</f>
        <v/>
      </c>
      <c r="AA271" s="20">
        <f>(Z271-$D$16)/$E$16</f>
        <v/>
      </c>
      <c r="AB271" s="18">
        <f>(2*F271-B271-H271)*100</f>
        <v/>
      </c>
      <c r="AC271" s="20">
        <f>(AB271-$D$17)/$E$17</f>
        <v/>
      </c>
      <c r="AD271" s="18">
        <f>L271-L272</f>
        <v/>
      </c>
      <c r="AE271" s="18">
        <f>N271-N272</f>
        <v/>
      </c>
      <c r="AF271" s="18">
        <f>P271-P272</f>
        <v/>
      </c>
      <c r="AG271" s="18">
        <f>R271-R272</f>
        <v/>
      </c>
      <c r="AH271" s="18">
        <f>T271-T272</f>
        <v/>
      </c>
      <c r="AI271" s="18">
        <f>V271-V272</f>
        <v/>
      </c>
      <c r="AJ271" s="18">
        <f>X271-X272</f>
        <v/>
      </c>
      <c r="AK271" s="18">
        <f>Z271-Z272</f>
        <v/>
      </c>
      <c r="AL271" s="18">
        <f>AB271-AB272</f>
        <v/>
      </c>
    </row>
    <row r="272">
      <c r="A272" s="16" t="n">
        <v>45909</v>
      </c>
      <c r="B272" s="17" t="n">
        <v>3.54</v>
      </c>
      <c r="C272" s="18">
        <f>(B272-B273)*100</f>
        <v/>
      </c>
      <c r="D272" s="17" t="n">
        <v>3.48</v>
      </c>
      <c r="E272" s="18">
        <f>(D272-D273)*100</f>
        <v/>
      </c>
      <c r="F272" s="17" t="n">
        <v>3.61</v>
      </c>
      <c r="G272" s="18">
        <f>(F272-F273)*100</f>
        <v/>
      </c>
      <c r="H272" s="17" t="n">
        <v>4.08</v>
      </c>
      <c r="I272" s="18">
        <f>(H272-H273)*100</f>
        <v/>
      </c>
      <c r="J272" s="17" t="n">
        <v>4.72</v>
      </c>
      <c r="K272" s="18">
        <f>(J272-J273)*100</f>
        <v/>
      </c>
      <c r="L272" s="18">
        <f>(F272-B272)*100</f>
        <v/>
      </c>
      <c r="M272" s="20">
        <f>(L272-$D$9)/$E$9</f>
        <v/>
      </c>
      <c r="N272" s="18">
        <f>(F272-D272)*100</f>
        <v/>
      </c>
      <c r="O272" s="20">
        <f>(N272-$D$10)/$E$10</f>
        <v/>
      </c>
      <c r="P272" s="18">
        <f>(H272-F272)*100</f>
        <v/>
      </c>
      <c r="Q272" s="20">
        <f>(P272-$D$11)/$E$11</f>
        <v/>
      </c>
      <c r="R272" s="18">
        <f>(J272-F272)*100</f>
        <v/>
      </c>
      <c r="S272" s="20">
        <f>(R272-$D$12)/$E$12</f>
        <v/>
      </c>
      <c r="T272" s="18">
        <f>(H272-B272)*100</f>
        <v/>
      </c>
      <c r="U272" s="20">
        <f>(T272-$D$13)/$E$13</f>
        <v/>
      </c>
      <c r="V272" s="18">
        <f>(H272-D272)*100</f>
        <v/>
      </c>
      <c r="W272" s="20">
        <f>(V272-$D$14)/$E$14</f>
        <v/>
      </c>
      <c r="X272" s="18">
        <f>(J272-H272)*100</f>
        <v/>
      </c>
      <c r="Y272" s="20">
        <f>(X272-$D$15)/$E$15</f>
        <v/>
      </c>
      <c r="Z272" s="18">
        <f>(J272-B272)*100</f>
        <v/>
      </c>
      <c r="AA272" s="20">
        <f>(Z272-$D$16)/$E$16</f>
        <v/>
      </c>
      <c r="AB272" s="18">
        <f>(2*F272-B272-H272)*100</f>
        <v/>
      </c>
      <c r="AC272" s="20">
        <f>(AB272-$D$17)/$E$17</f>
        <v/>
      </c>
      <c r="AD272" s="18">
        <f>L272-L273</f>
        <v/>
      </c>
      <c r="AE272" s="18">
        <f>N272-N273</f>
        <v/>
      </c>
      <c r="AF272" s="18">
        <f>P272-P273</f>
        <v/>
      </c>
      <c r="AG272" s="18">
        <f>R272-R273</f>
        <v/>
      </c>
      <c r="AH272" s="18">
        <f>T272-T273</f>
        <v/>
      </c>
      <c r="AI272" s="18">
        <f>V272-V273</f>
        <v/>
      </c>
      <c r="AJ272" s="18">
        <f>X272-X273</f>
        <v/>
      </c>
      <c r="AK272" s="18">
        <f>Z272-Z273</f>
        <v/>
      </c>
      <c r="AL272" s="18">
        <f>AB272-AB273</f>
        <v/>
      </c>
    </row>
    <row r="273">
      <c r="A273" s="16" t="n">
        <v>45908</v>
      </c>
      <c r="B273" s="17" t="n">
        <v>3.49</v>
      </c>
      <c r="C273" s="18">
        <f>(B273-B274)*100</f>
        <v/>
      </c>
      <c r="D273" s="17" t="n">
        <v>3.47</v>
      </c>
      <c r="E273" s="18">
        <f>(D273-D274)*100</f>
        <v/>
      </c>
      <c r="F273" s="17" t="n">
        <v>3.57</v>
      </c>
      <c r="G273" s="18">
        <f>(F273-F274)*100</f>
        <v/>
      </c>
      <c r="H273" s="17" t="n">
        <v>4.05</v>
      </c>
      <c r="I273" s="18">
        <f>(H273-H274)*100</f>
        <v/>
      </c>
      <c r="J273" s="17" t="n">
        <v>4.69</v>
      </c>
      <c r="K273" s="18">
        <f>(J273-J274)*100</f>
        <v/>
      </c>
      <c r="L273" s="18">
        <f>(F273-B273)*100</f>
        <v/>
      </c>
      <c r="M273" s="20">
        <f>(L273-$D$9)/$E$9</f>
        <v/>
      </c>
      <c r="N273" s="18">
        <f>(F273-D273)*100</f>
        <v/>
      </c>
      <c r="O273" s="20">
        <f>(N273-$D$10)/$E$10</f>
        <v/>
      </c>
      <c r="P273" s="18">
        <f>(H273-F273)*100</f>
        <v/>
      </c>
      <c r="Q273" s="20">
        <f>(P273-$D$11)/$E$11</f>
        <v/>
      </c>
      <c r="R273" s="18">
        <f>(J273-F273)*100</f>
        <v/>
      </c>
      <c r="S273" s="20">
        <f>(R273-$D$12)/$E$12</f>
        <v/>
      </c>
      <c r="T273" s="18">
        <f>(H273-B273)*100</f>
        <v/>
      </c>
      <c r="U273" s="20">
        <f>(T273-$D$13)/$E$13</f>
        <v/>
      </c>
      <c r="V273" s="18">
        <f>(H273-D273)*100</f>
        <v/>
      </c>
      <c r="W273" s="20">
        <f>(V273-$D$14)/$E$14</f>
        <v/>
      </c>
      <c r="X273" s="18">
        <f>(J273-H273)*100</f>
        <v/>
      </c>
      <c r="Y273" s="20">
        <f>(X273-$D$15)/$E$15</f>
        <v/>
      </c>
      <c r="Z273" s="18">
        <f>(J273-B273)*100</f>
        <v/>
      </c>
      <c r="AA273" s="20">
        <f>(Z273-$D$16)/$E$16</f>
        <v/>
      </c>
      <c r="AB273" s="18">
        <f>(2*F273-B273-H273)*100</f>
        <v/>
      </c>
      <c r="AC273" s="20">
        <f>(AB273-$D$17)/$E$17</f>
        <v/>
      </c>
      <c r="AD273" s="18">
        <f>L273-L274</f>
        <v/>
      </c>
      <c r="AE273" s="18">
        <f>N273-N274</f>
        <v/>
      </c>
      <c r="AF273" s="18">
        <f>P273-P274</f>
        <v/>
      </c>
      <c r="AG273" s="18">
        <f>R273-R274</f>
        <v/>
      </c>
      <c r="AH273" s="18">
        <f>T273-T274</f>
        <v/>
      </c>
      <c r="AI273" s="18">
        <f>V273-V274</f>
        <v/>
      </c>
      <c r="AJ273" s="18">
        <f>X273-X274</f>
        <v/>
      </c>
      <c r="AK273" s="18">
        <f>Z273-Z274</f>
        <v/>
      </c>
      <c r="AL273" s="18">
        <f>AB273-AB274</f>
        <v/>
      </c>
    </row>
    <row r="274">
      <c r="A274" s="16" t="n">
        <v>45905</v>
      </c>
      <c r="B274" s="17" t="n">
        <v>3.51</v>
      </c>
      <c r="C274" s="18">
        <f>(B274-B275)*100</f>
        <v/>
      </c>
      <c r="D274" s="17" t="n">
        <v>3.48</v>
      </c>
      <c r="E274" s="18">
        <f>(D274-D275)*100</f>
        <v/>
      </c>
      <c r="F274" s="17" t="n">
        <v>3.59</v>
      </c>
      <c r="G274" s="18">
        <f>(F274-F275)*100</f>
        <v/>
      </c>
      <c r="H274" s="17" t="n">
        <v>4.1</v>
      </c>
      <c r="I274" s="18">
        <f>(H274-H275)*100</f>
        <v/>
      </c>
      <c r="J274" s="17" t="n">
        <v>4.78</v>
      </c>
      <c r="K274" s="18">
        <f>(J274-J275)*100</f>
        <v/>
      </c>
      <c r="L274" s="18">
        <f>(F274-B274)*100</f>
        <v/>
      </c>
      <c r="M274" s="20">
        <f>(L274-$D$9)/$E$9</f>
        <v/>
      </c>
      <c r="N274" s="18">
        <f>(F274-D274)*100</f>
        <v/>
      </c>
      <c r="O274" s="20">
        <f>(N274-$D$10)/$E$10</f>
        <v/>
      </c>
      <c r="P274" s="18">
        <f>(H274-F274)*100</f>
        <v/>
      </c>
      <c r="Q274" s="20">
        <f>(P274-$D$11)/$E$11</f>
        <v/>
      </c>
      <c r="R274" s="18">
        <f>(J274-F274)*100</f>
        <v/>
      </c>
      <c r="S274" s="20">
        <f>(R274-$D$12)/$E$12</f>
        <v/>
      </c>
      <c r="T274" s="18">
        <f>(H274-B274)*100</f>
        <v/>
      </c>
      <c r="U274" s="20">
        <f>(T274-$D$13)/$E$13</f>
        <v/>
      </c>
      <c r="V274" s="18">
        <f>(H274-D274)*100</f>
        <v/>
      </c>
      <c r="W274" s="20">
        <f>(V274-$D$14)/$E$14</f>
        <v/>
      </c>
      <c r="X274" s="18">
        <f>(J274-H274)*100</f>
        <v/>
      </c>
      <c r="Y274" s="20">
        <f>(X274-$D$15)/$E$15</f>
        <v/>
      </c>
      <c r="Z274" s="18">
        <f>(J274-B274)*100</f>
        <v/>
      </c>
      <c r="AA274" s="20">
        <f>(Z274-$D$16)/$E$16</f>
        <v/>
      </c>
      <c r="AB274" s="18">
        <f>(2*F274-B274-H274)*100</f>
        <v/>
      </c>
      <c r="AC274" s="20">
        <f>(AB274-$D$17)/$E$17</f>
        <v/>
      </c>
      <c r="AD274" s="18">
        <f>L274-L275</f>
        <v/>
      </c>
      <c r="AE274" s="18">
        <f>N274-N275</f>
        <v/>
      </c>
      <c r="AF274" s="18">
        <f>P274-P275</f>
        <v/>
      </c>
      <c r="AG274" s="18">
        <f>R274-R275</f>
        <v/>
      </c>
      <c r="AH274" s="18">
        <f>T274-T275</f>
        <v/>
      </c>
      <c r="AI274" s="18">
        <f>V274-V275</f>
        <v/>
      </c>
      <c r="AJ274" s="18">
        <f>X274-X275</f>
        <v/>
      </c>
      <c r="AK274" s="18">
        <f>Z274-Z275</f>
        <v/>
      </c>
      <c r="AL274" s="18">
        <f>AB274-AB275</f>
        <v/>
      </c>
    </row>
    <row r="275">
      <c r="A275" s="16" t="n">
        <v>45904</v>
      </c>
      <c r="B275" s="17" t="n">
        <v>3.59</v>
      </c>
      <c r="C275" s="18">
        <f>(B275-B276)*100</f>
        <v/>
      </c>
      <c r="D275" s="17" t="n">
        <v>3.55</v>
      </c>
      <c r="E275" s="18">
        <f>(D275-D276)*100</f>
        <v/>
      </c>
      <c r="F275" s="17" t="n">
        <v>3.65</v>
      </c>
      <c r="G275" s="18">
        <f>(F275-F276)*100</f>
        <v/>
      </c>
      <c r="H275" s="17" t="n">
        <v>4.17</v>
      </c>
      <c r="I275" s="18">
        <f>(H275-H276)*100</f>
        <v/>
      </c>
      <c r="J275" s="17" t="n">
        <v>4.86</v>
      </c>
      <c r="K275" s="18">
        <f>(J275-J276)*100</f>
        <v/>
      </c>
      <c r="L275" s="18">
        <f>(F275-B275)*100</f>
        <v/>
      </c>
      <c r="M275" s="20">
        <f>(L275-$D$9)/$E$9</f>
        <v/>
      </c>
      <c r="N275" s="18">
        <f>(F275-D275)*100</f>
        <v/>
      </c>
      <c r="O275" s="20">
        <f>(N275-$D$10)/$E$10</f>
        <v/>
      </c>
      <c r="P275" s="18">
        <f>(H275-F275)*100</f>
        <v/>
      </c>
      <c r="Q275" s="20">
        <f>(P275-$D$11)/$E$11</f>
        <v/>
      </c>
      <c r="R275" s="18">
        <f>(J275-F275)*100</f>
        <v/>
      </c>
      <c r="S275" s="20">
        <f>(R275-$D$12)/$E$12</f>
        <v/>
      </c>
      <c r="T275" s="18">
        <f>(H275-B275)*100</f>
        <v/>
      </c>
      <c r="U275" s="20">
        <f>(T275-$D$13)/$E$13</f>
        <v/>
      </c>
      <c r="V275" s="18">
        <f>(H275-D275)*100</f>
        <v/>
      </c>
      <c r="W275" s="20">
        <f>(V275-$D$14)/$E$14</f>
        <v/>
      </c>
      <c r="X275" s="18">
        <f>(J275-H275)*100</f>
        <v/>
      </c>
      <c r="Y275" s="20">
        <f>(X275-$D$15)/$E$15</f>
        <v/>
      </c>
      <c r="Z275" s="18">
        <f>(J275-B275)*100</f>
        <v/>
      </c>
      <c r="AA275" s="20">
        <f>(Z275-$D$16)/$E$16</f>
        <v/>
      </c>
      <c r="AB275" s="18">
        <f>(2*F275-B275-H275)*100</f>
        <v/>
      </c>
      <c r="AC275" s="20">
        <f>(AB275-$D$17)/$E$17</f>
        <v/>
      </c>
      <c r="AD275" s="18">
        <f>L275-L276</f>
        <v/>
      </c>
      <c r="AE275" s="18">
        <f>N275-N276</f>
        <v/>
      </c>
      <c r="AF275" s="18">
        <f>P275-P276</f>
        <v/>
      </c>
      <c r="AG275" s="18">
        <f>R275-R276</f>
        <v/>
      </c>
      <c r="AH275" s="18">
        <f>T275-T276</f>
        <v/>
      </c>
      <c r="AI275" s="18">
        <f>V275-V276</f>
        <v/>
      </c>
      <c r="AJ275" s="18">
        <f>X275-X276</f>
        <v/>
      </c>
      <c r="AK275" s="18">
        <f>Z275-Z276</f>
        <v/>
      </c>
      <c r="AL275" s="18">
        <f>AB275-AB276</f>
        <v/>
      </c>
    </row>
    <row r="276">
      <c r="A276" s="16" t="n">
        <v>45903</v>
      </c>
      <c r="B276" s="17" t="n">
        <v>3.61</v>
      </c>
      <c r="C276" s="18">
        <f>(B276-B277)*100</f>
        <v/>
      </c>
      <c r="D276" s="17" t="n">
        <v>3.58</v>
      </c>
      <c r="E276" s="18">
        <f>(D276-D277)*100</f>
        <v/>
      </c>
      <c r="F276" s="17" t="n">
        <v>3.69</v>
      </c>
      <c r="G276" s="18">
        <f>(F276-F277)*100</f>
        <v/>
      </c>
      <c r="H276" s="17" t="n">
        <v>4.22</v>
      </c>
      <c r="I276" s="18">
        <f>(H276-H277)*100</f>
        <v/>
      </c>
      <c r="J276" s="17" t="n">
        <v>4.9</v>
      </c>
      <c r="K276" s="18">
        <f>(J276-J277)*100</f>
        <v/>
      </c>
      <c r="L276" s="18">
        <f>(F276-B276)*100</f>
        <v/>
      </c>
      <c r="M276" s="20">
        <f>(L276-$D$9)/$E$9</f>
        <v/>
      </c>
      <c r="N276" s="18">
        <f>(F276-D276)*100</f>
        <v/>
      </c>
      <c r="O276" s="20">
        <f>(N276-$D$10)/$E$10</f>
        <v/>
      </c>
      <c r="P276" s="18">
        <f>(H276-F276)*100</f>
        <v/>
      </c>
      <c r="Q276" s="20">
        <f>(P276-$D$11)/$E$11</f>
        <v/>
      </c>
      <c r="R276" s="18">
        <f>(J276-F276)*100</f>
        <v/>
      </c>
      <c r="S276" s="20">
        <f>(R276-$D$12)/$E$12</f>
        <v/>
      </c>
      <c r="T276" s="18">
        <f>(H276-B276)*100</f>
        <v/>
      </c>
      <c r="U276" s="20">
        <f>(T276-$D$13)/$E$13</f>
        <v/>
      </c>
      <c r="V276" s="18">
        <f>(H276-D276)*100</f>
        <v/>
      </c>
      <c r="W276" s="20">
        <f>(V276-$D$14)/$E$14</f>
        <v/>
      </c>
      <c r="X276" s="18">
        <f>(J276-H276)*100</f>
        <v/>
      </c>
      <c r="Y276" s="20">
        <f>(X276-$D$15)/$E$15</f>
        <v/>
      </c>
      <c r="Z276" s="18">
        <f>(J276-B276)*100</f>
        <v/>
      </c>
      <c r="AA276" s="20">
        <f>(Z276-$D$16)/$E$16</f>
        <v/>
      </c>
      <c r="AB276" s="18">
        <f>(2*F276-B276-H276)*100</f>
        <v/>
      </c>
      <c r="AC276" s="20">
        <f>(AB276-$D$17)/$E$17</f>
        <v/>
      </c>
      <c r="AD276" s="18">
        <f>L276-L277</f>
        <v/>
      </c>
      <c r="AE276" s="18">
        <f>N276-N277</f>
        <v/>
      </c>
      <c r="AF276" s="18">
        <f>P276-P277</f>
        <v/>
      </c>
      <c r="AG276" s="18">
        <f>R276-R277</f>
        <v/>
      </c>
      <c r="AH276" s="18">
        <f>T276-T277</f>
        <v/>
      </c>
      <c r="AI276" s="18">
        <f>V276-V277</f>
        <v/>
      </c>
      <c r="AJ276" s="18">
        <f>X276-X277</f>
        <v/>
      </c>
      <c r="AK276" s="18">
        <f>Z276-Z277</f>
        <v/>
      </c>
      <c r="AL276" s="18">
        <f>AB276-AB277</f>
        <v/>
      </c>
    </row>
    <row r="277">
      <c r="A277" s="16" t="n">
        <v>45902</v>
      </c>
      <c r="B277" s="17" t="n">
        <v>3.66</v>
      </c>
      <c r="C277" s="18">
        <f>(B277-B278)*100</f>
        <v/>
      </c>
      <c r="D277" s="17" t="n">
        <v>3.63</v>
      </c>
      <c r="E277" s="18">
        <f>(D277-D278)*100</f>
        <v/>
      </c>
      <c r="F277" s="17" t="n">
        <v>3.74</v>
      </c>
      <c r="G277" s="18">
        <f>(F277-F278)*100</f>
        <v/>
      </c>
      <c r="H277" s="17" t="n">
        <v>4.28</v>
      </c>
      <c r="I277" s="18">
        <f>(H277-H278)*100</f>
        <v/>
      </c>
      <c r="J277" s="17" t="n">
        <v>4.97</v>
      </c>
      <c r="K277" s="18">
        <f>(J277-J278)*100</f>
        <v/>
      </c>
      <c r="L277" s="18">
        <f>(F277-B277)*100</f>
        <v/>
      </c>
      <c r="M277" s="20">
        <f>(L277-$D$9)/$E$9</f>
        <v/>
      </c>
      <c r="N277" s="18">
        <f>(F277-D277)*100</f>
        <v/>
      </c>
      <c r="O277" s="20">
        <f>(N277-$D$10)/$E$10</f>
        <v/>
      </c>
      <c r="P277" s="18">
        <f>(H277-F277)*100</f>
        <v/>
      </c>
      <c r="Q277" s="20">
        <f>(P277-$D$11)/$E$11</f>
        <v/>
      </c>
      <c r="R277" s="18">
        <f>(J277-F277)*100</f>
        <v/>
      </c>
      <c r="S277" s="20">
        <f>(R277-$D$12)/$E$12</f>
        <v/>
      </c>
      <c r="T277" s="18">
        <f>(H277-B277)*100</f>
        <v/>
      </c>
      <c r="U277" s="20">
        <f>(T277-$D$13)/$E$13</f>
        <v/>
      </c>
      <c r="V277" s="18">
        <f>(H277-D277)*100</f>
        <v/>
      </c>
      <c r="W277" s="20">
        <f>(V277-$D$14)/$E$14</f>
        <v/>
      </c>
      <c r="X277" s="18">
        <f>(J277-H277)*100</f>
        <v/>
      </c>
      <c r="Y277" s="20">
        <f>(X277-$D$15)/$E$15</f>
        <v/>
      </c>
      <c r="Z277" s="18">
        <f>(J277-B277)*100</f>
        <v/>
      </c>
      <c r="AA277" s="20">
        <f>(Z277-$D$16)/$E$16</f>
        <v/>
      </c>
      <c r="AB277" s="18">
        <f>(2*F277-B277-H277)*100</f>
        <v/>
      </c>
      <c r="AC277" s="20">
        <f>(AB277-$D$17)/$E$17</f>
        <v/>
      </c>
      <c r="AD277" s="18">
        <f>L277-L278</f>
        <v/>
      </c>
      <c r="AE277" s="18">
        <f>N277-N278</f>
        <v/>
      </c>
      <c r="AF277" s="18">
        <f>P277-P278</f>
        <v/>
      </c>
      <c r="AG277" s="18">
        <f>R277-R278</f>
        <v/>
      </c>
      <c r="AH277" s="18">
        <f>T277-T278</f>
        <v/>
      </c>
      <c r="AI277" s="18">
        <f>V277-V278</f>
        <v/>
      </c>
      <c r="AJ277" s="18">
        <f>X277-X278</f>
        <v/>
      </c>
      <c r="AK277" s="18">
        <f>Z277-Z278</f>
        <v/>
      </c>
      <c r="AL277" s="18">
        <f>AB277-AB278</f>
        <v/>
      </c>
    </row>
    <row r="278">
      <c r="A278" s="16" t="n">
        <v>45898</v>
      </c>
      <c r="B278" s="17" t="n">
        <v>3.59</v>
      </c>
      <c r="C278" s="18">
        <f>(B278-B279)*100</f>
        <v/>
      </c>
      <c r="D278" s="17" t="n">
        <v>3.58</v>
      </c>
      <c r="E278" s="18">
        <f>(D278-D279)*100</f>
        <v/>
      </c>
      <c r="F278" s="17" t="n">
        <v>3.68</v>
      </c>
      <c r="G278" s="18">
        <f>(F278-F279)*100</f>
        <v/>
      </c>
      <c r="H278" s="17" t="n">
        <v>4.23</v>
      </c>
      <c r="I278" s="18">
        <f>(H278-H279)*100</f>
        <v/>
      </c>
      <c r="J278" s="17" t="n">
        <v>4.92</v>
      </c>
      <c r="K278" s="18">
        <f>(J278-J279)*100</f>
        <v/>
      </c>
      <c r="L278" s="18">
        <f>(F278-B278)*100</f>
        <v/>
      </c>
      <c r="M278" s="20">
        <f>(L278-$D$9)/$E$9</f>
        <v/>
      </c>
      <c r="N278" s="18">
        <f>(F278-D278)*100</f>
        <v/>
      </c>
      <c r="O278" s="20">
        <f>(N278-$D$10)/$E$10</f>
        <v/>
      </c>
      <c r="P278" s="18">
        <f>(H278-F278)*100</f>
        <v/>
      </c>
      <c r="Q278" s="20">
        <f>(P278-$D$11)/$E$11</f>
        <v/>
      </c>
      <c r="R278" s="18">
        <f>(J278-F278)*100</f>
        <v/>
      </c>
      <c r="S278" s="20">
        <f>(R278-$D$12)/$E$12</f>
        <v/>
      </c>
      <c r="T278" s="18">
        <f>(H278-B278)*100</f>
        <v/>
      </c>
      <c r="U278" s="20">
        <f>(T278-$D$13)/$E$13</f>
        <v/>
      </c>
      <c r="V278" s="18">
        <f>(H278-D278)*100</f>
        <v/>
      </c>
      <c r="W278" s="20">
        <f>(V278-$D$14)/$E$14</f>
        <v/>
      </c>
      <c r="X278" s="18">
        <f>(J278-H278)*100</f>
        <v/>
      </c>
      <c r="Y278" s="20">
        <f>(X278-$D$15)/$E$15</f>
        <v/>
      </c>
      <c r="Z278" s="18">
        <f>(J278-B278)*100</f>
        <v/>
      </c>
      <c r="AA278" s="20">
        <f>(Z278-$D$16)/$E$16</f>
        <v/>
      </c>
      <c r="AB278" s="18">
        <f>(2*F278-B278-H278)*100</f>
        <v/>
      </c>
      <c r="AC278" s="20">
        <f>(AB278-$D$17)/$E$17</f>
        <v/>
      </c>
      <c r="AD278" s="18">
        <f>L278-L279</f>
        <v/>
      </c>
      <c r="AE278" s="18">
        <f>N278-N279</f>
        <v/>
      </c>
      <c r="AF278" s="18">
        <f>P278-P279</f>
        <v/>
      </c>
      <c r="AG278" s="18">
        <f>R278-R279</f>
        <v/>
      </c>
      <c r="AH278" s="18">
        <f>T278-T279</f>
        <v/>
      </c>
      <c r="AI278" s="18">
        <f>V278-V279</f>
        <v/>
      </c>
      <c r="AJ278" s="18">
        <f>X278-X279</f>
        <v/>
      </c>
      <c r="AK278" s="18">
        <f>Z278-Z279</f>
        <v/>
      </c>
      <c r="AL278" s="18">
        <f>AB278-AB279</f>
        <v/>
      </c>
    </row>
    <row r="279">
      <c r="A279" s="16" t="n">
        <v>45897</v>
      </c>
      <c r="B279" s="17" t="n">
        <v>3.62</v>
      </c>
      <c r="C279" s="18">
        <f>(B279-B280)*100</f>
        <v/>
      </c>
      <c r="D279" s="17" t="n">
        <v>3.6</v>
      </c>
      <c r="E279" s="18">
        <f>(D279-D280)*100</f>
        <v/>
      </c>
      <c r="F279" s="17" t="n">
        <v>3.69</v>
      </c>
      <c r="G279" s="18">
        <f>(F279-F280)*100</f>
        <v/>
      </c>
      <c r="H279" s="17" t="n">
        <v>4.22</v>
      </c>
      <c r="I279" s="18">
        <f>(H279-H280)*100</f>
        <v/>
      </c>
      <c r="J279" s="17" t="n">
        <v>4.88</v>
      </c>
      <c r="K279" s="18">
        <f>(J279-J280)*100</f>
        <v/>
      </c>
      <c r="L279" s="18">
        <f>(F279-B279)*100</f>
        <v/>
      </c>
      <c r="M279" s="20">
        <f>(L279-$D$9)/$E$9</f>
        <v/>
      </c>
      <c r="N279" s="18">
        <f>(F279-D279)*100</f>
        <v/>
      </c>
      <c r="O279" s="20">
        <f>(N279-$D$10)/$E$10</f>
        <v/>
      </c>
      <c r="P279" s="18">
        <f>(H279-F279)*100</f>
        <v/>
      </c>
      <c r="Q279" s="20">
        <f>(P279-$D$11)/$E$11</f>
        <v/>
      </c>
      <c r="R279" s="18">
        <f>(J279-F279)*100</f>
        <v/>
      </c>
      <c r="S279" s="20">
        <f>(R279-$D$12)/$E$12</f>
        <v/>
      </c>
      <c r="T279" s="18">
        <f>(H279-B279)*100</f>
        <v/>
      </c>
      <c r="U279" s="20">
        <f>(T279-$D$13)/$E$13</f>
        <v/>
      </c>
      <c r="V279" s="18">
        <f>(H279-D279)*100</f>
        <v/>
      </c>
      <c r="W279" s="20">
        <f>(V279-$D$14)/$E$14</f>
        <v/>
      </c>
      <c r="X279" s="18">
        <f>(J279-H279)*100</f>
        <v/>
      </c>
      <c r="Y279" s="20">
        <f>(X279-$D$15)/$E$15</f>
        <v/>
      </c>
      <c r="Z279" s="18">
        <f>(J279-B279)*100</f>
        <v/>
      </c>
      <c r="AA279" s="20">
        <f>(Z279-$D$16)/$E$16</f>
        <v/>
      </c>
      <c r="AB279" s="18">
        <f>(2*F279-B279-H279)*100</f>
        <v/>
      </c>
      <c r="AC279" s="20">
        <f>(AB279-$D$17)/$E$17</f>
        <v/>
      </c>
      <c r="AD279" s="18">
        <f>L279-L280</f>
        <v/>
      </c>
      <c r="AE279" s="18">
        <f>N279-N280</f>
        <v/>
      </c>
      <c r="AF279" s="18">
        <f>P279-P280</f>
        <v/>
      </c>
      <c r="AG279" s="18">
        <f>R279-R280</f>
        <v/>
      </c>
      <c r="AH279" s="18">
        <f>T279-T280</f>
        <v/>
      </c>
      <c r="AI279" s="18">
        <f>V279-V280</f>
        <v/>
      </c>
      <c r="AJ279" s="18">
        <f>X279-X280</f>
        <v/>
      </c>
      <c r="AK279" s="18">
        <f>Z279-Z280</f>
        <v/>
      </c>
      <c r="AL279" s="18">
        <f>AB279-AB280</f>
        <v/>
      </c>
    </row>
    <row r="280">
      <c r="A280" s="16" t="n">
        <v>45896</v>
      </c>
      <c r="B280" s="17" t="n">
        <v>3.59</v>
      </c>
      <c r="D280" s="17" t="n">
        <v>3.59</v>
      </c>
      <c r="F280" s="17" t="n">
        <v>3.69</v>
      </c>
      <c r="H280" s="17" t="n">
        <v>4.24</v>
      </c>
      <c r="J280" s="17" t="n">
        <v>4.91</v>
      </c>
      <c r="L280" s="18">
        <f>(F280-B280)*100</f>
        <v/>
      </c>
      <c r="M280" s="20">
        <f>(L280-$D$9)/$E$9</f>
        <v/>
      </c>
      <c r="N280" s="18">
        <f>(F280-D280)*100</f>
        <v/>
      </c>
      <c r="O280" s="20">
        <f>(N280-$D$10)/$E$10</f>
        <v/>
      </c>
      <c r="P280" s="18">
        <f>(H280-F280)*100</f>
        <v/>
      </c>
      <c r="Q280" s="20">
        <f>(P280-$D$11)/$E$11</f>
        <v/>
      </c>
      <c r="R280" s="18">
        <f>(J280-F280)*100</f>
        <v/>
      </c>
      <c r="S280" s="20">
        <f>(R280-$D$12)/$E$12</f>
        <v/>
      </c>
      <c r="T280" s="18">
        <f>(H280-B280)*100</f>
        <v/>
      </c>
      <c r="U280" s="20">
        <f>(T280-$D$13)/$E$13</f>
        <v/>
      </c>
      <c r="V280" s="18">
        <f>(H280-D280)*100</f>
        <v/>
      </c>
      <c r="W280" s="20">
        <f>(V280-$D$14)/$E$14</f>
        <v/>
      </c>
      <c r="X280" s="18">
        <f>(J280-H280)*100</f>
        <v/>
      </c>
      <c r="Y280" s="20">
        <f>(X280-$D$15)/$E$15</f>
        <v/>
      </c>
      <c r="Z280" s="18">
        <f>(J280-B280)*100</f>
        <v/>
      </c>
      <c r="AA280" s="20">
        <f>(Z280-$D$16)/$E$16</f>
        <v/>
      </c>
      <c r="AB280" s="18">
        <f>(2*F280-B280-H280)*100</f>
        <v/>
      </c>
      <c r="AC280" s="20">
        <f>(AB280-$D$17)/$E$17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0" customWidth="1" min="3" max="3"/>
    <col width="20" customWidth="1" min="4" max="4"/>
    <col width="20" customWidth="1" min="5" max="5"/>
    <col width="95" customWidth="1" min="6" max="6"/>
  </cols>
  <sheetData>
    <row r="1">
      <c r="A1" s="1" t="inlineStr">
        <is>
          <t>US Macro Dashboard — Jun / Jul / Aug 2026 (by data month)</t>
        </is>
      </c>
    </row>
    <row r="2">
      <c r="A2" s="2" t="inlineStr">
        <is>
          <t>Release dates in notes · compiled 2026-08-29 · sources: BLS, BEA, CNBC, Advisor Perspectives, Axios, ISM, U.Michigan, Atlanta Fed</t>
        </is>
      </c>
    </row>
    <row r="4">
      <c r="A4" s="21" t="inlineStr">
        <is>
          <t>INFLATION</t>
        </is>
      </c>
      <c r="B4" s="21" t="inlineStr"/>
      <c r="C4" s="21" t="inlineStr"/>
      <c r="D4" s="21" t="inlineStr"/>
      <c r="E4" s="21" t="inlineStr"/>
      <c r="F4" s="21" t="inlineStr"/>
    </row>
    <row r="5">
      <c r="A5" s="6" t="inlineStr">
        <is>
          <t>Indicator</t>
        </is>
      </c>
      <c r="B5" s="6" t="inlineStr">
        <is>
          <t>Metric</t>
        </is>
      </c>
      <c r="C5" s="6" t="inlineStr">
        <is>
          <t>Jun 2026</t>
        </is>
      </c>
      <c r="D5" s="6" t="inlineStr">
        <is>
          <t>Jul 2026</t>
        </is>
      </c>
      <c r="E5" s="6" t="inlineStr">
        <is>
          <t>Aug 2026</t>
        </is>
      </c>
      <c r="F5" s="6" t="inlineStr">
        <is>
          <t>Notes</t>
        </is>
      </c>
    </row>
    <row r="6">
      <c r="A6" s="7" t="inlineStr">
        <is>
          <t>CPI headline</t>
        </is>
      </c>
      <c r="B6" s="12" t="inlineStr">
        <is>
          <t>m/m</t>
        </is>
      </c>
      <c r="C6" s="22" t="inlineStr">
        <is>
          <t>-0.4%</t>
        </is>
      </c>
      <c r="D6" s="22" t="inlineStr">
        <is>
          <t>+0.1%</t>
        </is>
      </c>
      <c r="E6" s="22" t="inlineStr">
        <is>
          <t>due ~Sep 10</t>
        </is>
      </c>
      <c r="F6" s="23" t="inlineStr">
        <is>
          <t>Jun: largest monthly drop since Apr 2020; beat 3.8% y/y consensus. Released Jul 14 / Aug 12.</t>
        </is>
      </c>
    </row>
    <row r="7">
      <c r="A7" s="12" t="inlineStr"/>
      <c r="B7" s="12" t="inlineStr">
        <is>
          <t>y/y</t>
        </is>
      </c>
      <c r="C7" s="22" t="inlineStr">
        <is>
          <t>3.5%</t>
        </is>
      </c>
      <c r="D7" s="22" t="inlineStr">
        <is>
          <t>3.4%</t>
        </is>
      </c>
      <c r="E7" s="22" t="inlineStr">
        <is>
          <t>—</t>
        </is>
      </c>
      <c r="F7" s="23" t="inlineStr">
        <is>
          <t>Peaked at 4.2% in May (Iran war / oil shock); easing but stuck in the 3s.</t>
        </is>
      </c>
    </row>
    <row r="8">
      <c r="A8" s="7" t="inlineStr">
        <is>
          <t>Core CPI</t>
        </is>
      </c>
      <c r="B8" s="12" t="inlineStr">
        <is>
          <t>m/m</t>
        </is>
      </c>
      <c r="C8" s="22" t="inlineStr">
        <is>
          <t>0.0%</t>
        </is>
      </c>
      <c r="D8" s="22" t="inlineStr">
        <is>
          <t>+0.2%</t>
        </is>
      </c>
      <c r="E8" s="22" t="inlineStr">
        <is>
          <t>due ~Sep 10</t>
        </is>
      </c>
      <c r="F8" s="23" t="inlineStr">
        <is>
          <t>Core is well-behaved — the problem is energy.</t>
        </is>
      </c>
    </row>
    <row r="9">
      <c r="A9" s="12" t="inlineStr"/>
      <c r="B9" s="12" t="inlineStr">
        <is>
          <t>y/y</t>
        </is>
      </c>
      <c r="C9" s="22" t="inlineStr">
        <is>
          <t>2.6%</t>
        </is>
      </c>
      <c r="D9" s="22" t="inlineStr">
        <is>
          <t>2.5%</t>
        </is>
      </c>
      <c r="E9" s="22" t="inlineStr">
        <is>
          <t>—</t>
        </is>
      </c>
      <c r="F9" s="23" t="inlineStr"/>
    </row>
    <row r="10">
      <c r="A10" s="7" t="inlineStr">
        <is>
          <t>PCE headline</t>
        </is>
      </c>
      <c r="B10" s="12" t="inlineStr">
        <is>
          <t>m/m</t>
        </is>
      </c>
      <c r="C10" s="22" t="inlineStr">
        <is>
          <t>-0.1%</t>
        </is>
      </c>
      <c r="D10" s="22" t="inlineStr">
        <is>
          <t>+0.2%</t>
        </is>
      </c>
      <c r="E10" s="22" t="inlineStr">
        <is>
          <t>due late Sep</t>
        </is>
      </c>
      <c r="F10" s="23" t="inlineStr">
        <is>
          <t>Jul beat +0.1% consensus. Released Jul 31 / Aug 26.</t>
        </is>
      </c>
    </row>
    <row r="11">
      <c r="A11" s="12" t="inlineStr"/>
      <c r="B11" s="12" t="inlineStr">
        <is>
          <t>y/y</t>
        </is>
      </c>
      <c r="C11" s="22" t="inlineStr">
        <is>
          <t>3.7%</t>
        </is>
      </c>
      <c r="D11" s="22" t="inlineStr">
        <is>
          <t>3.7%</t>
        </is>
      </c>
      <c r="E11" s="22" t="inlineStr">
        <is>
          <t>—</t>
        </is>
      </c>
      <c r="F11" s="23" t="inlineStr">
        <is>
          <t>Eased from 4.1% in May, then stalled — disinflation paused.</t>
        </is>
      </c>
    </row>
    <row r="12">
      <c r="A12" s="7" t="inlineStr">
        <is>
          <t>Core PCE</t>
        </is>
      </c>
      <c r="B12" s="12" t="inlineStr">
        <is>
          <t>m/m</t>
        </is>
      </c>
      <c r="C12" s="22" t="inlineStr">
        <is>
          <t>+0.1%</t>
        </is>
      </c>
      <c r="D12" s="22" t="inlineStr">
        <is>
          <t>+0.2%</t>
        </is>
      </c>
      <c r="E12" s="22" t="inlineStr">
        <is>
          <t>due late Sep</t>
        </is>
      </c>
      <c r="F12" s="23" t="inlineStr"/>
    </row>
    <row r="13">
      <c r="A13" s="12" t="inlineStr"/>
      <c r="B13" s="12" t="inlineStr">
        <is>
          <t>y/y</t>
        </is>
      </c>
      <c r="C13" s="22" t="inlineStr">
        <is>
          <t>3.3%</t>
        </is>
      </c>
      <c r="D13" s="22" t="inlineStr">
        <is>
          <t>3.3%</t>
        </is>
      </c>
      <c r="E13" s="22" t="inlineStr">
        <is>
          <t>—</t>
        </is>
      </c>
      <c r="F13" s="23" t="inlineStr">
        <is>
          <t>Above 3.2% consensus; 1.3pp over the 2% target and going sideways — the hawks' key exhibit.</t>
        </is>
      </c>
    </row>
    <row r="14">
      <c r="A14" s="7" t="inlineStr">
        <is>
          <t>PPI headline</t>
        </is>
      </c>
      <c r="B14" s="12" t="inlineStr">
        <is>
          <t>m/m</t>
        </is>
      </c>
      <c r="C14" s="22" t="inlineStr">
        <is>
          <t>+0.2%</t>
        </is>
      </c>
      <c r="D14" s="22" t="inlineStr">
        <is>
          <t>0.0%</t>
        </is>
      </c>
      <c r="E14" s="22" t="inlineStr">
        <is>
          <t>due ~Sep 10</t>
        </is>
      </c>
      <c r="F14" s="23" t="inlineStr">
        <is>
          <t>Jul flat vs +0.2% expected. Released Jul 15 / Aug 13.</t>
        </is>
      </c>
    </row>
    <row r="15">
      <c r="A15" s="12" t="inlineStr"/>
      <c r="B15" s="12" t="inlineStr">
        <is>
          <t>y/y</t>
        </is>
      </c>
      <c r="C15" s="22" t="inlineStr">
        <is>
          <t>5.5%</t>
        </is>
      </c>
      <c r="D15" s="22" t="inlineStr">
        <is>
          <t>4.7%</t>
        </is>
      </c>
      <c r="E15" s="22" t="inlineStr">
        <is>
          <t>—</t>
        </is>
      </c>
      <c r="F15" s="23" t="inlineStr">
        <is>
          <t>Down from 6.0% in May — pipeline pressure cooling fast.</t>
        </is>
      </c>
    </row>
    <row r="16">
      <c r="A16" s="7" t="inlineStr">
        <is>
          <t>Core PPI</t>
        </is>
      </c>
      <c r="B16" s="12" t="inlineStr">
        <is>
          <t>m/m</t>
        </is>
      </c>
      <c r="C16" s="22" t="inlineStr">
        <is>
          <t>+0.4%</t>
        </is>
      </c>
      <c r="D16" s="22" t="inlineStr">
        <is>
          <t>+0.2%</t>
        </is>
      </c>
      <c r="E16" s="22" t="inlineStr">
        <is>
          <t>due ~Sep 10</t>
        </is>
      </c>
      <c r="F16" s="23" t="inlineStr">
        <is>
          <t>Jul below 0.3% consensus.</t>
        </is>
      </c>
    </row>
    <row r="17">
      <c r="A17" s="12" t="inlineStr"/>
      <c r="B17" s="12" t="inlineStr">
        <is>
          <t>y/y</t>
        </is>
      </c>
      <c r="C17" s="22" t="inlineStr">
        <is>
          <t>3.1%</t>
        </is>
      </c>
      <c r="D17" s="22" t="inlineStr">
        <is>
          <t>n/a*</t>
        </is>
      </c>
      <c r="E17" s="22" t="inlineStr">
        <is>
          <t>—</t>
        </is>
      </c>
      <c r="F17" s="23" t="inlineStr">
        <is>
          <t>*Jul y/y conflicting across sources (a reported 4.2% looks like the ex-food/energy/trade series) — verify on terminal.</t>
        </is>
      </c>
    </row>
    <row r="19">
      <c r="A19" s="21" t="inlineStr">
        <is>
          <t>LABOR</t>
        </is>
      </c>
      <c r="B19" s="21" t="inlineStr"/>
      <c r="C19" s="21" t="inlineStr"/>
      <c r="D19" s="21" t="inlineStr"/>
      <c r="E19" s="21" t="inlineStr"/>
      <c r="F19" s="21" t="inlineStr"/>
    </row>
    <row r="20">
      <c r="A20" s="6" t="inlineStr">
        <is>
          <t>Indicator</t>
        </is>
      </c>
      <c r="B20" s="6" t="inlineStr">
        <is>
          <t>Metric</t>
        </is>
      </c>
      <c r="C20" s="6" t="inlineStr">
        <is>
          <t>Jun 2026</t>
        </is>
      </c>
      <c r="D20" s="6" t="inlineStr">
        <is>
          <t>Jul 2026</t>
        </is>
      </c>
      <c r="E20" s="6" t="inlineStr">
        <is>
          <t>Aug 2026</t>
        </is>
      </c>
      <c r="F20" s="6" t="inlineStr">
        <is>
          <t>Notes</t>
        </is>
      </c>
    </row>
    <row r="21">
      <c r="A21" s="7" t="inlineStr">
        <is>
          <t>Nonfarm payrolls</t>
        </is>
      </c>
      <c r="B21" s="12" t="inlineStr">
        <is>
          <t>k, m/m</t>
        </is>
      </c>
      <c r="C21" s="22" t="inlineStr">
        <is>
          <t>+57k -&gt; revised +20k</t>
        </is>
      </c>
      <c r="D21" s="22" t="inlineStr">
        <is>
          <t>-23k (exp +80k)</t>
        </is>
      </c>
      <c r="E21" s="22" t="inlineStr">
        <is>
          <t>due Sep 4</t>
        </is>
      </c>
      <c r="F21" s="23" t="inlineStr">
        <is>
          <t>Jul: first negative print; two-month revisions -103k. Released Jul 2 / Aug 7.</t>
        </is>
      </c>
    </row>
    <row r="22">
      <c r="A22" s="7" t="inlineStr">
        <is>
          <t>Unemployment rate</t>
        </is>
      </c>
      <c r="B22" s="12" t="inlineStr">
        <is>
          <t>%</t>
        </is>
      </c>
      <c r="C22" s="22" t="inlineStr">
        <is>
          <t>4.2%</t>
        </is>
      </c>
      <c r="D22" s="22" t="inlineStr">
        <is>
          <t>4.1%</t>
        </is>
      </c>
      <c r="E22" s="22" t="inlineStr">
        <is>
          <t>due Sep 4</t>
        </is>
      </c>
      <c r="F22" s="23" t="inlineStr">
        <is>
          <t>Fell for the wrong reason: participation 61.4%, a 5-year low (labor supply shrinking).</t>
        </is>
      </c>
    </row>
    <row r="23">
      <c r="A23" s="7" t="inlineStr">
        <is>
          <t>Avg hourly earnings</t>
        </is>
      </c>
      <c r="B23" s="12" t="inlineStr">
        <is>
          <t>y/y</t>
        </is>
      </c>
      <c r="C23" s="22" t="inlineStr">
        <is>
          <t>—</t>
        </is>
      </c>
      <c r="D23" s="22" t="inlineStr">
        <is>
          <t>+3.2%</t>
        </is>
      </c>
      <c r="E23" s="22" t="inlineStr">
        <is>
          <t>due Sep 4</t>
        </is>
      </c>
      <c r="F23" s="23" t="inlineStr">
        <is>
          <t>Slowest since May 2021 — wage-push pressure fading.</t>
        </is>
      </c>
    </row>
    <row r="24">
      <c r="A24" s="7" t="inlineStr">
        <is>
          <t>ADP private payrolls</t>
        </is>
      </c>
      <c r="B24" s="12" t="inlineStr">
        <is>
          <t>k, m/m</t>
        </is>
      </c>
      <c r="C24" s="22" t="inlineStr">
        <is>
          <t>+95k (rev.)</t>
        </is>
      </c>
      <c r="D24" s="22" t="inlineStr">
        <is>
          <t>+44k (exp +70k)</t>
        </is>
      </c>
      <c r="E24" s="22" t="inlineStr">
        <is>
          <t>due Sep 2</t>
        </is>
      </c>
      <c r="F24" s="23" t="inlineStr">
        <is>
          <t>Hiring slowdown confirmed.</t>
        </is>
      </c>
    </row>
    <row r="25">
      <c r="A25" s="7" t="inlineStr">
        <is>
          <t>Initial jobless claims</t>
        </is>
      </c>
      <c r="B25" s="12" t="inlineStr">
        <is>
          <t>weekly</t>
        </is>
      </c>
      <c r="C25" s="22" t="inlineStr">
        <is>
          <t>~190k</t>
        </is>
      </c>
      <c r="D25" s="22" t="inlineStr">
        <is>
          <t>low-200k</t>
        </is>
      </c>
      <c r="E25" s="22" t="inlineStr">
        <is>
          <t>203k (wk Aug 22)</t>
        </is>
      </c>
      <c r="F25" s="23" t="inlineStr">
        <is>
          <t>Near 60-year lows — no layoffs; a hiring freeze, not a firing cycle.</t>
        </is>
      </c>
    </row>
    <row r="27">
      <c r="A27" s="21" t="inlineStr">
        <is>
          <t>ACTIVITY &amp; EXPECTATIONS</t>
        </is>
      </c>
      <c r="B27" s="21" t="inlineStr"/>
      <c r="C27" s="21" t="inlineStr"/>
      <c r="D27" s="21" t="inlineStr"/>
      <c r="E27" s="21" t="inlineStr"/>
      <c r="F27" s="21" t="inlineStr"/>
    </row>
    <row r="28">
      <c r="A28" s="6" t="inlineStr">
        <is>
          <t>Indicator</t>
        </is>
      </c>
      <c r="B28" s="6" t="inlineStr">
        <is>
          <t>Metric</t>
        </is>
      </c>
      <c r="C28" s="6" t="inlineStr">
        <is>
          <t>Jun 2026</t>
        </is>
      </c>
      <c r="D28" s="6" t="inlineStr">
        <is>
          <t>Jul 2026</t>
        </is>
      </c>
      <c r="E28" s="6" t="inlineStr">
        <is>
          <t>Aug 2026</t>
        </is>
      </c>
      <c r="F28" s="6" t="inlineStr">
        <is>
          <t>Notes</t>
        </is>
      </c>
    </row>
    <row r="29">
      <c r="A29" s="7" t="inlineStr">
        <is>
          <t>Retail sales</t>
        </is>
      </c>
      <c r="B29" s="12" t="inlineStr">
        <is>
          <t>m/m</t>
        </is>
      </c>
      <c r="C29" s="22" t="inlineStr">
        <is>
          <t>+0.2% (+6.7% y/y)</t>
        </is>
      </c>
      <c r="D29" s="22" t="inlineStr">
        <is>
          <t>-0.6% (+5.0% y/y)</t>
        </is>
      </c>
      <c r="E29" s="22" t="inlineStr">
        <is>
          <t>due mid-Sep</t>
        </is>
      </c>
      <c r="F29" s="23" t="inlineStr">
        <is>
          <t>Jul: biggest drop in over a year — consumer breather.</t>
        </is>
      </c>
    </row>
    <row r="30">
      <c r="A30" s="7" t="inlineStr">
        <is>
          <t>ISM Manufacturing</t>
        </is>
      </c>
      <c r="B30" s="12" t="inlineStr">
        <is>
          <t>index</t>
        </is>
      </c>
      <c r="C30" s="22" t="inlineStr">
        <is>
          <t>53.3</t>
        </is>
      </c>
      <c r="D30" s="22" t="inlineStr">
        <is>
          <t>55.6</t>
        </is>
      </c>
      <c r="E30" s="22" t="inlineStr">
        <is>
          <t>due Sep 1</t>
        </is>
      </c>
      <c r="F30" s="23" t="inlineStr">
        <is>
          <t>Jul highest since May 2022; Aug S&amp;P flash mfg 53.2.</t>
        </is>
      </c>
    </row>
    <row r="31">
      <c r="A31" s="7" t="inlineStr">
        <is>
          <t>ISM Services</t>
        </is>
      </c>
      <c r="B31" s="12" t="inlineStr">
        <is>
          <t>index</t>
        </is>
      </c>
      <c r="C31" s="22" t="inlineStr">
        <is>
          <t>54.0</t>
        </is>
      </c>
      <c r="D31" s="22" t="inlineStr">
        <is>
          <t>54.1</t>
        </is>
      </c>
      <c r="E31" s="22" t="inlineStr">
        <is>
          <t>due Sep 3</t>
        </is>
      </c>
      <c r="F31" s="23" t="inlineStr">
        <is>
          <t>Aug S&amp;P flash services 56.8, composite 56.0 (best since Apr 2022).</t>
        </is>
      </c>
    </row>
    <row r="32">
      <c r="A32" s="7" t="inlineStr">
        <is>
          <t>Real GDP</t>
        </is>
      </c>
      <c r="B32" s="12" t="inlineStr">
        <is>
          <t>saar</t>
        </is>
      </c>
      <c r="C32" s="22" t="inlineStr">
        <is>
          <t>Q2 +1.5%</t>
        </is>
      </c>
      <c r="D32" s="22" t="inlineStr">
        <is>
          <t>—</t>
        </is>
      </c>
      <c r="E32" s="22" t="inlineStr">
        <is>
          <t>GDPNow Q3: 4.6%</t>
        </is>
      </c>
      <c r="F32" s="23" t="inlineStr">
        <is>
          <t>Q2 second estimate unchanged; consumption revised up to +3.4%. GDPNow as of Aug 26.</t>
        </is>
      </c>
    </row>
    <row r="33">
      <c r="A33" s="7" t="inlineStr">
        <is>
          <t>U.Mich inflation exp.</t>
        </is>
      </c>
      <c r="B33" s="12" t="inlineStr">
        <is>
          <t>1y / 5-10y</t>
        </is>
      </c>
      <c r="C33" s="22" t="inlineStr">
        <is>
          <t>4.6% / 3.3%</t>
        </is>
      </c>
      <c r="D33" s="22" t="inlineStr">
        <is>
          <t>4.2% / 3.3%</t>
        </is>
      </c>
      <c r="E33" s="22" t="inlineStr">
        <is>
          <t>4.3% / 3.3% (prelim)</t>
        </is>
      </c>
      <c r="F33" s="23" t="inlineStr">
        <is>
          <t>Long-run expectations anchored at 3.3%; Aug sentiment 51.0.</t>
        </is>
      </c>
    </row>
    <row r="35">
      <c r="A35" s="21" t="inlineStr">
        <is>
          <t>TAKEAWAY</t>
        </is>
      </c>
    </row>
    <row r="36">
      <c r="A36" s="24" t="inlineStr">
        <is>
          <t>Inflation: headline stuck in the 3s, core PCE flat at 3.3% — no progress toward 2% since June.</t>
        </is>
      </c>
    </row>
    <row r="37">
      <c r="A37" s="24" t="inlineStr">
        <is>
          <t>Labor: cooling sharply, but via shrinking supply (participation), not layoffs — claims near 60-yr lows.</t>
        </is>
      </c>
    </row>
    <row r="38">
      <c r="A38" s="24" t="inlineStr">
        <is>
          <t>Activity: re-accelerating (GDPNow 4.6%, flash PMI 56.0, record-adjacent equities).</t>
        </is>
      </c>
    </row>
    <row r="39">
      <c r="A39" s="24" t="inlineStr">
        <is>
          <t>Net: the Fed cannot cut (Sep 16 hike odds ~58% post-Jackson Hole); growth supports real yields; inflation uncertainty feeds the term premium.</t>
        </is>
      </c>
    </row>
    <row r="40">
      <c r="A40" s="24" t="inlineStr">
        <is>
          <t>Event calendar: Sep 2 ADP · Sep 4 NFP · Sep 9 Treasury buybacks start · ~Sep 10 CPI/PPI · Sep 16 FOMC.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62" customWidth="1" min="4" max="4"/>
    <col width="105" customWidth="1" min="5" max="5"/>
  </cols>
  <sheetData>
    <row r="1">
      <c r="A1" s="1" t="inlineStr">
        <is>
          <t>Spread Trade Verdict — 5Y-centric — data through 2026-08-27 (compiled 2026-08-29)</t>
        </is>
      </c>
    </row>
    <row r="3">
      <c r="A3" s="25" t="inlineStr">
        <is>
          <t>Trade</t>
        </is>
      </c>
      <c r="B3" s="6" t="inlineStr">
        <is>
          <t>Current(bp)</t>
        </is>
      </c>
      <c r="C3" s="6" t="inlineStr">
        <is>
          <t>Z</t>
        </is>
      </c>
      <c r="D3" s="6" t="inlineStr">
        <is>
          <t>Pctile</t>
        </is>
      </c>
      <c r="E3" s="6" t="inlineStr">
        <is>
          <t>Verdict</t>
        </is>
      </c>
    </row>
    <row r="4" ht="45" customHeight="1">
      <c r="A4" s="7" t="inlineStr">
        <is>
          <t>2s5s10s fly</t>
        </is>
      </c>
      <c r="B4" s="26">
        <f>'Spread Monitor'!C17</f>
        <v/>
      </c>
      <c r="C4" s="27">
        <f>'Spread Monitor'!F17</f>
        <v/>
      </c>
      <c r="D4" s="28">
        <f>'Spread Monitor'!G17</f>
        <v/>
      </c>
      <c r="E4" s="29" t="inlineStr">
        <is>
          <t>THE RV signal — and it SURVIVED the Warsh day: -11bp, z +1.7, 99th pctile (1Y range -46 to -10). Belly cheapest vs wings in a year; hike repricing is concentrated in 2-5Y. Long 5Y vs 50/50 DV01 wings (short 2Y + 10Y). Note: Aug 28 5Y is an estimate — confirm with terminal close first.</t>
        </is>
      </c>
    </row>
    <row r="5" ht="30" customHeight="1">
      <c r="A5" s="7" t="inlineStr">
        <is>
          <t>10s30s</t>
        </is>
      </c>
      <c r="B5" s="26">
        <f>'Spread Monitor'!C15</f>
        <v/>
      </c>
      <c r="C5" s="27">
        <f>'Spread Monitor'!F15</f>
        <v/>
      </c>
      <c r="D5" s="28">
        <f>'Spread Monitor'!G15</f>
        <v/>
      </c>
      <c r="E5" s="29" t="inlineStr">
        <is>
          <t>z -2.3, ~0th pctile — AT the 1Y flat extreme after Aug 28 (30Y fell while 2s sold off). Steepener has the best entry stats on the sheet, but fights the Sep 9 - Nov 4 long-end buybacks.</t>
        </is>
      </c>
    </row>
    <row r="6" ht="30" customHeight="1">
      <c r="A6" s="7" t="inlineStr">
        <is>
          <t>5s30s</t>
        </is>
      </c>
      <c r="B6" s="26">
        <f>'Spread Monitor'!C12</f>
        <v/>
      </c>
      <c r="C6" s="27">
        <f>'Spread Monitor'!F12</f>
        <v/>
      </c>
      <c r="D6" s="28">
        <f>'Spread Monitor'!G12</f>
        <v/>
      </c>
      <c r="E6" s="29" t="inlineStr">
        <is>
          <t>z -2.1, 2nd pctile — 1Y extreme flat. Steepener: long 5Y / short 30Y; fiscal-supply tailwind vs buyback headwind.</t>
        </is>
      </c>
    </row>
    <row r="7" ht="30" customHeight="1">
      <c r="A7" s="7" t="inlineStr">
        <is>
          <t>5s10s</t>
        </is>
      </c>
      <c r="B7" s="26">
        <f>'Spread Monitor'!C11</f>
        <v/>
      </c>
      <c r="C7" s="27">
        <f>'Spread Monitor'!F11</f>
        <v/>
      </c>
      <c r="D7" s="28">
        <f>'Spread Monitor'!G11</f>
        <v/>
      </c>
      <c r="E7" s="29" t="inlineStr">
        <is>
          <t>z -1.8, 3rd pctile — flat side, belly-cheap story with fewer moving parts.</t>
        </is>
      </c>
    </row>
    <row r="8" ht="30" customHeight="1">
      <c r="A8" s="7" t="inlineStr">
        <is>
          <t>3s10s</t>
        </is>
      </c>
      <c r="B8" s="26">
        <f>'Spread Monitor'!C14</f>
        <v/>
      </c>
      <c r="C8" s="27">
        <f>'Spread Monitor'!F14</f>
        <v/>
      </c>
      <c r="D8" s="28">
        <f>'Spread Monitor'!G14</f>
        <v/>
      </c>
      <c r="E8" s="29" t="inlineStr">
        <is>
          <t>z -1.8, 5th pctile — very flat; 3Y is the most Fed-sensitive point (Aug 28 3Y is an estimate).</t>
        </is>
      </c>
    </row>
    <row r="10">
      <c r="A10" s="3" t="inlineStr">
        <is>
          <t>Overall verdict (data through Aug 28; 3Y/5Y on Aug 28 are regression estimates)</t>
        </is>
      </c>
    </row>
    <row r="11">
      <c r="A11" s="24" t="inlineStr">
        <is>
          <t>- After the Aug 28 Warsh selloff the CURVE spreads are at 1Y flat extremes (10s30s z -2.3, 5s30s z -2.1, 5s10s z -1.8) and the 2s5s10s fly stays at its 1Y high (z +1.7) — belly cheap, curve maximally flat. Cleanest RV: the fly. Best entry stats: 10s30s / 5s30s steepeners.</t>
        </is>
      </c>
    </row>
    <row r="12">
      <c r="A12" s="24" t="inlineStr">
        <is>
          <t>- Why: summer hike repricing (June SEP, oil, three FOMC hike dissents, Warsh Jackson Hole) hit the 2-5Y sector hardest, while buyback-supported 30s and data-sensitive 10s lagged; on Aug 28 the 30Y actually FELL 2bp as the 2Y jumped 14bp.</t>
        </is>
      </c>
    </row>
    <row r="13">
      <c r="A13" s="24" t="inlineStr">
        <is>
          <t>- Risk: if the Fed actually hikes on Sep 16 (odds ~58%), bear-flattening can extend before it mean-reverts — scale in, do not lump in. Stops: fly z &gt; +2.5; curve steepeners if 10s30s z &lt; -3 or a delivered hike comes with hawkish dots.</t>
        </is>
      </c>
    </row>
    <row r="14">
      <c r="A14" s="24" t="inlineStr">
        <is>
          <t>- Aug 28 row: 2Y 4.34 / 10Y 4.73 / 30Y 5.17 are reported closes; 3Y 4.41 / 5Y 4.48 are beta-regression estimates (red cells) — replace with terminal closes and re-check Z before executing.</t>
        </is>
      </c>
    </row>
    <row r="16">
      <c r="A16" s="3" t="inlineStr">
        <is>
          <t>Catalyst calendar</t>
        </is>
      </c>
    </row>
    <row r="17">
      <c r="A17" s="24" t="inlineStr">
        <is>
          <t>Sep 2 ADP · Sep 4 NFP · Sep 9 buybacks start · ~Sep 10 CPI/PPI · Sep 16 FOMC (hike odds ~58%) · October refunding · Iran/oil, fiscal deficit (Jul $432bn), $739bn Q3 borrowing</t>
        </is>
      </c>
    </row>
    <row r="19">
      <c r="A19" s="3" t="inlineStr">
        <is>
          <t>DV01-neutral hedge ratios (approximate — use terminal DV01 for execution)</t>
        </is>
      </c>
    </row>
    <row r="20">
      <c r="A20" s="25" t="inlineStr">
        <is>
          <t>Tenor</t>
        </is>
      </c>
      <c r="B20" s="25" t="inlineStr">
        <is>
          <t>Approx duration</t>
        </is>
      </c>
      <c r="C20" s="25" t="inlineStr">
        <is>
          <t>DV01 / 100mm</t>
        </is>
      </c>
      <c r="D20" s="25" t="inlineStr">
        <is>
          <t>Example structures</t>
        </is>
      </c>
    </row>
    <row r="21">
      <c r="A21" s="7" t="inlineStr">
        <is>
          <t>2Y</t>
        </is>
      </c>
      <c r="B21" s="30" t="n">
        <v>1.9</v>
      </c>
      <c r="C21" s="31">
        <f>B21/100*10000</f>
        <v/>
      </c>
      <c r="D21" s="12" t="inlineStr">
        <is>
          <t>2s5s10s fly: per 100mm 5Y long, wings 50/50 DV01 -&gt; short ~121mm 2Y + ~29mm 10Y</t>
        </is>
      </c>
    </row>
    <row r="22">
      <c r="A22" s="7" t="inlineStr">
        <is>
          <t>3Y</t>
        </is>
      </c>
      <c r="B22" s="30" t="n">
        <v>2.8</v>
      </c>
      <c r="C22" s="31">
        <f>B22/100*10000</f>
        <v/>
      </c>
      <c r="D22" s="12" t="inlineStr">
        <is>
          <t>5s10s steepener: per 100mm 10Y short, buy ~172mm 5Y (C24/C23)</t>
        </is>
      </c>
    </row>
    <row r="23">
      <c r="A23" s="7" t="inlineStr">
        <is>
          <t>5Y</t>
        </is>
      </c>
      <c r="B23" s="30" t="n">
        <v>4.6</v>
      </c>
      <c r="C23" s="31">
        <f>B23/100*10000</f>
        <v/>
      </c>
      <c r="D23" s="12" t="inlineStr">
        <is>
          <t>5s30s steepener: per 100mm 30Y short, buy ~348mm 5Y (C25/C23)</t>
        </is>
      </c>
    </row>
    <row r="24">
      <c r="A24" s="7" t="inlineStr">
        <is>
          <t>10Y</t>
        </is>
      </c>
      <c r="B24" s="30" t="n">
        <v>7.9</v>
      </c>
      <c r="C24" s="31">
        <f>B24/100*10000</f>
        <v/>
      </c>
      <c r="D24" s="12" t="inlineStr">
        <is>
          <t>2s5s flattener: per 100mm 5Y short, buy ~242mm 2Y (C23/C21)</t>
        </is>
      </c>
    </row>
    <row r="25">
      <c r="A25" s="7" t="inlineStr">
        <is>
          <t>30Y</t>
        </is>
      </c>
      <c r="B25" s="30" t="n">
        <v>16</v>
      </c>
      <c r="C25" s="31">
        <f>B25/100*10000</f>
        <v/>
      </c>
      <c r="D25" s="32" t="inlineStr">
        <is>
          <t>(Approximations — vary with price/yield level)</t>
        </is>
      </c>
    </row>
    <row r="27">
      <c r="A27" s="3" t="inlineStr">
        <is>
          <t>How to refresh from Bloomberg</t>
        </is>
      </c>
    </row>
    <row r="28">
      <c r="A28" s="24">
        <f>BDH("USGG5YR Index","PX_LAST","8/27/2025","","Dir=V","Dts=S","Sort=D")   &lt;- Date + PX_LAST, vertical, newest first</f>
        <v/>
      </c>
    </row>
    <row r="29">
      <c r="A29" s="24" t="inlineStr">
        <is>
          <t>Tickers: USGG2YR / USGG3YR / USGG5YR / USGG10YR / USGG30YR Index (generic yields) or GT2 / GT3 / GT5 / GT10 / GT30 Govt (the US analog of KTB GTKRW#YR Corp).</t>
        </is>
      </c>
    </row>
    <row r="30">
      <c r="A30" s="24" t="inlineStr">
        <is>
          <t>Paste values into the blue tenor columns (B/D/F/H/J) of the Spread Monitor sheet — spreads, Z-scores and percentiles all recalculate automatically.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5s spreads &amp; belly fly (bp, 1Y)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2026-08-30T01:05:43Z</dcterms:created>
  <dcterms:modified xsi:type="dcterms:W3CDTF">2026-08-30T01:05:44Z</dcterms:modified>
</cp:coreProperties>
</file>