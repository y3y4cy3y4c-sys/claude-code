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ead Monitor" sheetId="1" state="visible" r:id="rId1"/>
    <sheet name="Macro" sheetId="2" state="visible" r:id="rId2"/>
    <sheet name="Verdict &amp; Guide" sheetId="3" state="visible" r:id="rId3"/>
    <sheet name="Ch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08080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0" borderId="1" pivotButton="0" quotePrefix="0" xfId="0"/>
    <xf numFmtId="166" fontId="6" fillId="0" borderId="1" pivotButton="0" quotePrefix="0" xfId="0"/>
    <xf numFmtId="2" fontId="6" fillId="0" borderId="1" pivotButton="0" quotePrefix="0" xfId="0"/>
    <xf numFmtId="2" fontId="6" fillId="3" borderId="1" pivotButton="0" quotePrefix="0" xfId="0"/>
    <xf numFmtId="165" fontId="6" fillId="3" borderId="1" pivotButton="0" quotePrefix="0" xfId="0"/>
    <xf numFmtId="0" fontId="6" fillId="0" borderId="1" pivotButton="0" quotePrefix="0" xfId="0"/>
    <xf numFmtId="165" fontId="6" fillId="4" borderId="1" pivotButton="0" quotePrefix="0" xfId="0"/>
    <xf numFmtId="165" fontId="6" fillId="0" borderId="1" pivotButton="0" quotePrefix="0" xfId="0"/>
    <xf numFmtId="164" fontId="6" fillId="0" borderId="0" pivotButton="0" quotePrefix="0" xfId="0"/>
    <xf numFmtId="165" fontId="4" fillId="0" borderId="0" pivotButton="0" quotePrefix="0" xfId="0"/>
    <xf numFmtId="166" fontId="6" fillId="0" borderId="0" pivotButton="0" quotePrefix="0" xfId="0"/>
    <xf numFmtId="2" fontId="6" fillId="0" borderId="0" pivotButton="0" quotePrefix="0" xfId="0"/>
    <xf numFmtId="0" fontId="3" fillId="5" borderId="0" pivotButton="0" quotePrefix="0" xfId="0"/>
    <xf numFmtId="0" fontId="6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2" borderId="1" pivotButton="0" quotePrefix="0" xfId="0"/>
    <xf numFmtId="166" fontId="7" fillId="0" borderId="1" pivotButton="0" quotePrefix="0" xfId="0"/>
    <xf numFmtId="2" fontId="7" fillId="0" borderId="1" pivotButton="0" quotePrefix="0" xfId="0"/>
    <xf numFmtId="165" fontId="7" fillId="0" borderId="1" pivotButton="0" quotePrefix="0" xfId="0"/>
    <xf numFmtId="166" fontId="4" fillId="0" borderId="1" pivotButton="0" quotePrefix="0" xfId="0"/>
    <xf numFmtId="3" fontId="6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UST spreads (bp) — 1Y</a:t>
            </a:r>
          </a:p>
        </rich>
      </tx>
    </title>
    <plotArea>
      <lineChart>
        <grouping val="standard"/>
        <ser>
          <idx val="0"/>
          <order val="0"/>
          <tx>
            <strRef>
              <f>'Spread Monitor'!J23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'Spread Monitor'!$A$24:$A$274</f>
            </numRef>
          </cat>
          <val>
            <numRef>
              <f>'Spread Monitor'!$J$24:$J$274</f>
            </numRef>
          </val>
          <smooth val="0"/>
        </ser>
        <ser>
          <idx val="1"/>
          <order val="1"/>
          <tx>
            <strRef>
              <f>'Spread Monitor'!L23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'Spread Monitor'!$A$24:$A$274</f>
            </numRef>
          </cat>
          <val>
            <numRef>
              <f>'Spread Monitor'!$L$24:$L$274</f>
            </numRef>
          </val>
          <smooth val="0"/>
        </ser>
        <ser>
          <idx val="2"/>
          <order val="2"/>
          <tx>
            <strRef>
              <f>'Spread Monitor'!N23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'Spread Monitor'!$A$24:$A$274</f>
            </numRef>
          </cat>
          <val>
            <numRef>
              <f>'Spread Monitor'!$N$24:$N$274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4"/>
  <sheetViews>
    <sheetView workbookViewId="0">
      <pane xSplit="1" ySplit="23" topLeftCell="B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7.5" customWidth="1" min="2" max="2"/>
    <col width="9" customWidth="1" min="3" max="3"/>
    <col width="7.5" customWidth="1" min="4" max="4"/>
    <col width="9" customWidth="1" min="5" max="5"/>
    <col width="7.5" customWidth="1" min="6" max="6"/>
    <col width="9" customWidth="1" min="7" max="7"/>
    <col width="7.5" customWidth="1" min="8" max="8"/>
    <col width="9" customWidth="1" min="9" max="9"/>
    <col width="10" customWidth="1" min="10" max="10"/>
    <col width="8" customWidth="1" min="11" max="11"/>
    <col width="10" customWidth="1" min="12" max="12"/>
    <col width="8" customWidth="1" min="13" max="13"/>
    <col width="9" customWidth="1" min="14" max="14"/>
    <col width="8" customWidth="1" min="15" max="15"/>
    <col width="9" customWidth="1" min="16" max="16"/>
    <col width="8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inlineStr">
        <is>
          <t>US Treasury Spread Monitor — 2Y / 3Y / 10Y / 30Y</t>
        </is>
      </c>
    </row>
    <row r="2">
      <c r="A2" s="2" t="inlineStr">
        <is>
          <t>Same layout as the KTB template · 1Y rolling window · compiled 2026-08-29</t>
        </is>
      </c>
      <c r="L2" s="3" t="inlineStr">
        <is>
          <t>Percentile guide</t>
        </is>
      </c>
    </row>
    <row r="3">
      <c r="A3" s="3" t="inlineStr">
        <is>
          <t>Security</t>
        </is>
      </c>
      <c r="B3" s="4" t="inlineStr">
        <is>
          <t>USGG2YR Index</t>
        </is>
      </c>
      <c r="C3" s="4" t="inlineStr">
        <is>
          <t>USGG3YR Index</t>
        </is>
      </c>
      <c r="D3" s="4" t="inlineStr">
        <is>
          <t>USGG10YR Index</t>
        </is>
      </c>
      <c r="E3" s="4" t="inlineStr">
        <is>
          <t>USGG30YR Index</t>
        </is>
      </c>
      <c r="F3" s="2" t="inlineStr">
        <is>
          <t>(on-the-run generics: GT2 Govt / GT3 Govt / GT10 Govt / GT30 Govt)</t>
        </is>
      </c>
      <c r="L3" s="2" t="inlineStr">
        <is>
          <t>0.10 = lower 10% of past year (very flat)</t>
        </is>
      </c>
    </row>
    <row r="4">
      <c r="A4" s="3" t="inlineStr">
        <is>
          <t>Start Date</t>
        </is>
      </c>
      <c r="B4" s="5" t="n">
        <v>45896</v>
      </c>
      <c r="L4" s="2" t="inlineStr">
        <is>
          <t>0.25 = lower 25%</t>
        </is>
      </c>
    </row>
    <row r="5">
      <c r="A5" s="3" t="inlineStr">
        <is>
          <t>End Date</t>
        </is>
      </c>
      <c r="B5" s="5" t="n">
        <v>46261</v>
      </c>
      <c r="L5" s="2" t="inlineStr">
        <is>
          <t>0.50 = middle</t>
        </is>
      </c>
    </row>
    <row r="6">
      <c r="A6" s="3" t="inlineStr">
        <is>
          <t>Source</t>
        </is>
      </c>
      <c r="B6" s="2" t="inlineStr">
        <is>
          <t>FRED daily constant-maturity yields DGS2/DGS3/DGS10/DGS30 (closes, through 2026-08-27). May differ from Bloomberg PX_LAST by 1-3bp. Aug 28 not yet included (see Verdict sheet).</t>
        </is>
      </c>
      <c r="L6" s="2" t="inlineStr">
        <is>
          <t>0.80 = upper 20% (already steep)</t>
        </is>
      </c>
    </row>
    <row r="7">
      <c r="L7" s="2" t="inlineStr">
        <is>
          <t>* Low spread = flat = steepener candidate; high = steep = flattener candidate</t>
        </is>
      </c>
    </row>
    <row r="8">
      <c r="A8" s="6" t="inlineStr">
        <is>
          <t>Spread</t>
        </is>
      </c>
      <c r="C8" s="6" t="inlineStr">
        <is>
          <t>Current(bp)</t>
        </is>
      </c>
      <c r="D8" s="6" t="inlineStr">
        <is>
          <t>1Y AVG</t>
        </is>
      </c>
      <c r="E8" s="6" t="inlineStr">
        <is>
          <t>STDEV.s</t>
        </is>
      </c>
      <c r="F8" s="6" t="inlineStr">
        <is>
          <t>Z-score</t>
        </is>
      </c>
      <c r="G8" s="6" t="inlineStr">
        <is>
          <t>Percentile</t>
        </is>
      </c>
      <c r="H8" s="6" t="inlineStr">
        <is>
          <t>1M chg(bp)</t>
        </is>
      </c>
      <c r="I8" s="6" t="inlineStr">
        <is>
          <t>Vol(bp/d)</t>
        </is>
      </c>
      <c r="J8" s="6" t="inlineStr">
        <is>
          <t>Interpretation (1Y window)</t>
        </is>
      </c>
    </row>
    <row r="9">
      <c r="A9" s="7" t="inlineStr">
        <is>
          <t>2s10s</t>
        </is>
      </c>
      <c r="C9" s="8">
        <f>J24</f>
        <v/>
      </c>
      <c r="D9" s="8">
        <f>AVERAGE(J24:J274)</f>
        <v/>
      </c>
      <c r="E9" s="9">
        <f>STDEV.S(J24:J274)</f>
        <v/>
      </c>
      <c r="F9" s="10">
        <f>(C9-D9)/E9</f>
        <v/>
      </c>
      <c r="G9" s="11">
        <f>PERCENTRANK(J24:J274,C9)</f>
        <v/>
      </c>
      <c r="H9" s="8">
        <f>J24-J45</f>
        <v/>
      </c>
      <c r="I9" s="9">
        <f>STDEV.S(R24:R273)</f>
        <v/>
      </c>
      <c r="J9" s="12">
        <f>IF(G9&lt;=0.1,"Lower 10% of past 1Y (very flat)",IF(G9&lt;=0.25,"Lower 25% (flat side)",IF(G9&lt;0.75,"Mid-range",IF(G9&lt;0.9,"Upper 25% (steep side)","Upper 10% (already very steep)"))))</f>
        <v/>
      </c>
    </row>
    <row r="10">
      <c r="A10" s="7" t="inlineStr">
        <is>
          <t>3s10s</t>
        </is>
      </c>
      <c r="C10" s="8">
        <f>L24</f>
        <v/>
      </c>
      <c r="D10" s="8">
        <f>AVERAGE(L24:L274)</f>
        <v/>
      </c>
      <c r="E10" s="9">
        <f>STDEV.S(L24:L274)</f>
        <v/>
      </c>
      <c r="F10" s="10">
        <f>(C10-D10)/E10</f>
        <v/>
      </c>
      <c r="G10" s="11">
        <f>PERCENTRANK(L24:L274,C10)</f>
        <v/>
      </c>
      <c r="H10" s="8">
        <f>L24-L45</f>
        <v/>
      </c>
      <c r="I10" s="9">
        <f>STDEV.S(S24:S273)</f>
        <v/>
      </c>
      <c r="J10" s="12">
        <f>IF(G10&lt;=0.1,"Lower 10% of past 1Y (very flat)",IF(G10&lt;=0.25,"Lower 25% (flat side)",IF(G10&lt;0.75,"Mid-range",IF(G10&lt;0.9,"Upper 25% (steep side)","Upper 10% (already very steep)"))))</f>
        <v/>
      </c>
    </row>
    <row r="11">
      <c r="A11" s="7" t="inlineStr">
        <is>
          <t>10s30s</t>
        </is>
      </c>
      <c r="C11" s="8">
        <f>N24</f>
        <v/>
      </c>
      <c r="D11" s="8">
        <f>AVERAGE(N24:N274)</f>
        <v/>
      </c>
      <c r="E11" s="9">
        <f>STDEV.S(N24:N274)</f>
        <v/>
      </c>
      <c r="F11" s="10">
        <f>(C11-D11)/E11</f>
        <v/>
      </c>
      <c r="G11" s="11">
        <f>PERCENTRANK(N24:N274,C11)</f>
        <v/>
      </c>
      <c r="H11" s="8">
        <f>N24-N45</f>
        <v/>
      </c>
      <c r="I11" s="9">
        <f>STDEV.S(T24:T273)</f>
        <v/>
      </c>
      <c r="J11" s="12">
        <f>IF(G11&lt;=0.1,"Lower 10% of past 1Y (very flat)",IF(G11&lt;=0.25,"Lower 25% (flat side)",IF(G11&lt;0.75,"Mid-range",IF(G11&lt;0.9,"Upper 25% (steep side)","Upper 10% (already very steep)"))))</f>
        <v/>
      </c>
    </row>
    <row r="12">
      <c r="A12" s="7" t="inlineStr">
        <is>
          <t>2s30s</t>
        </is>
      </c>
      <c r="C12" s="8">
        <f>P24</f>
        <v/>
      </c>
      <c r="D12" s="8">
        <f>AVERAGE(P24:P274)</f>
        <v/>
      </c>
      <c r="E12" s="9">
        <f>STDEV.S(P24:P274)</f>
        <v/>
      </c>
      <c r="F12" s="10">
        <f>(C12-D12)/E12</f>
        <v/>
      </c>
      <c r="G12" s="11">
        <f>PERCENTRANK(P24:P274,C12)</f>
        <v/>
      </c>
      <c r="H12" s="8">
        <f>P24-P45</f>
        <v/>
      </c>
      <c r="I12" s="9">
        <f>STDEV.S(U24:U273)</f>
        <v/>
      </c>
      <c r="J12" s="12">
        <f>IF(G12&lt;=0.1,"Lower 10% of past 1Y (very flat)",IF(G12&lt;=0.25,"Lower 25% (flat side)",IF(G12&lt;0.75,"Mid-range",IF(G12&lt;0.9,"Upper 25% (steep side)","Upper 10% (already very steep)"))))</f>
        <v/>
      </c>
    </row>
    <row r="14">
      <c r="A14" s="3" t="inlineStr">
        <is>
          <t>Daily-change correlation (1Y, in bp)</t>
        </is>
      </c>
    </row>
    <row r="15">
      <c r="B15" s="6" t="inlineStr">
        <is>
          <t>2Y</t>
        </is>
      </c>
      <c r="C15" s="6" t="inlineStr">
        <is>
          <t>3Y</t>
        </is>
      </c>
      <c r="D15" s="6" t="inlineStr">
        <is>
          <t>10Y</t>
        </is>
      </c>
      <c r="E15" s="6" t="inlineStr">
        <is>
          <t>30Y</t>
        </is>
      </c>
      <c r="G15" s="2" t="inlineStr">
        <is>
          <t>Blue = data (paste new values) · Black = formulas · Yellow = key outputs</t>
        </is>
      </c>
    </row>
    <row r="16">
      <c r="A16" s="6" t="inlineStr">
        <is>
          <t>2Y</t>
        </is>
      </c>
      <c r="B16" s="13">
        <f>CORREL(C24:C273,C24:C273)</f>
        <v/>
      </c>
      <c r="C16" s="14">
        <f>CORREL(C24:C273,E24:E273)</f>
        <v/>
      </c>
      <c r="D16" s="14">
        <f>CORREL(C24:C273,G24:G273)</f>
        <v/>
      </c>
      <c r="E16" s="14">
        <f>CORREL(C24:C273,I24:I273)</f>
        <v/>
      </c>
      <c r="G16" s="2" t="inlineStr">
        <is>
          <t>If you add rows, extend the stat ranges (J24:J274 etc.) accordingly.</t>
        </is>
      </c>
    </row>
    <row r="17">
      <c r="A17" s="6" t="inlineStr">
        <is>
          <t>3Y</t>
        </is>
      </c>
      <c r="B17" s="14">
        <f>CORREL(E24:E273,C24:C273)</f>
        <v/>
      </c>
      <c r="C17" s="13">
        <f>CORREL(E24:E273,E24:E273)</f>
        <v/>
      </c>
      <c r="D17" s="14">
        <f>CORREL(E24:E273,G24:G273)</f>
        <v/>
      </c>
      <c r="E17" s="14">
        <f>CORREL(E24:E273,I24:I273)</f>
        <v/>
      </c>
    </row>
    <row r="18">
      <c r="A18" s="6" t="inlineStr">
        <is>
          <t>10Y</t>
        </is>
      </c>
      <c r="B18" s="14">
        <f>CORREL(G24:G273,C24:C273)</f>
        <v/>
      </c>
      <c r="C18" s="14">
        <f>CORREL(G24:G273,E24:E273)</f>
        <v/>
      </c>
      <c r="D18" s="13">
        <f>CORREL(G24:G273,G24:G273)</f>
        <v/>
      </c>
      <c r="E18" s="14">
        <f>CORREL(G24:G273,I24:I273)</f>
        <v/>
      </c>
    </row>
    <row r="19">
      <c r="A19" s="6" t="inlineStr">
        <is>
          <t>30Y</t>
        </is>
      </c>
      <c r="B19" s="14">
        <f>CORREL(I24:I273,C24:C273)</f>
        <v/>
      </c>
      <c r="C19" s="14">
        <f>CORREL(I24:I273,E24:E273)</f>
        <v/>
      </c>
      <c r="D19" s="14">
        <f>CORREL(I24:I273,G24:G273)</f>
        <v/>
      </c>
      <c r="E19" s="13">
        <f>CORREL(I24:I273,I24:I273)</f>
        <v/>
      </c>
    </row>
    <row r="20">
      <c r="A20" s="7" t="inlineStr">
        <is>
          <t>vol (bp/day)</t>
        </is>
      </c>
      <c r="B20" s="9">
        <f>STDEV.S(C24:C273)</f>
        <v/>
      </c>
      <c r="C20" s="9">
        <f>STDEV.S(E24:E273)</f>
        <v/>
      </c>
      <c r="D20" s="9">
        <f>STDEV.S(G24:G273)</f>
        <v/>
      </c>
      <c r="E20" s="9">
        <f>STDEV.S(I24:I273)</f>
        <v/>
      </c>
    </row>
    <row r="22">
      <c r="A22" s="3" t="inlineStr">
        <is>
          <t>Daily data (newest first) — all computed columns are formulas: insert new data on top and everything recalculates</t>
        </is>
      </c>
    </row>
    <row r="23">
      <c r="A23" s="6" t="inlineStr">
        <is>
          <t>Date</t>
        </is>
      </c>
      <c r="B23" s="6" t="inlineStr">
        <is>
          <t>2Y</t>
        </is>
      </c>
      <c r="C23" s="6" t="inlineStr">
        <is>
          <t>d2Y(bp)</t>
        </is>
      </c>
      <c r="D23" s="6" t="inlineStr">
        <is>
          <t>3Y</t>
        </is>
      </c>
      <c r="E23" s="6" t="inlineStr">
        <is>
          <t>d3Y(bp)</t>
        </is>
      </c>
      <c r="F23" s="6" t="inlineStr">
        <is>
          <t>10Y</t>
        </is>
      </c>
      <c r="G23" s="6" t="inlineStr">
        <is>
          <t>d10Y(bp)</t>
        </is>
      </c>
      <c r="H23" s="6" t="inlineStr">
        <is>
          <t>30Y</t>
        </is>
      </c>
      <c r="I23" s="6" t="inlineStr">
        <is>
          <t>d30Y(bp)</t>
        </is>
      </c>
      <c r="J23" s="6" t="inlineStr">
        <is>
          <t>2s10s(bp)</t>
        </is>
      </c>
      <c r="K23" s="6" t="inlineStr">
        <is>
          <t>Z 2s10s</t>
        </is>
      </c>
      <c r="L23" s="6" t="inlineStr">
        <is>
          <t>3s10s(bp)</t>
        </is>
      </c>
      <c r="M23" s="6" t="inlineStr">
        <is>
          <t>Z 3s10s</t>
        </is>
      </c>
      <c r="N23" s="6" t="inlineStr">
        <is>
          <t>10s30s(bp)</t>
        </is>
      </c>
      <c r="O23" s="6" t="inlineStr">
        <is>
          <t>Z 10s30s</t>
        </is>
      </c>
      <c r="P23" s="6" t="inlineStr">
        <is>
          <t>2s30s(bp)</t>
        </is>
      </c>
      <c r="Q23" s="6" t="inlineStr">
        <is>
          <t>Z 2s30s</t>
        </is>
      </c>
      <c r="R23" s="6" t="inlineStr">
        <is>
          <t>d2s10s(bp)</t>
        </is>
      </c>
      <c r="S23" s="6" t="inlineStr">
        <is>
          <t>d3s10s(bp)</t>
        </is>
      </c>
      <c r="T23" s="6" t="inlineStr">
        <is>
          <t>d10s30s(bp)</t>
        </is>
      </c>
      <c r="U23" s="6" t="inlineStr">
        <is>
          <t>d2s30s(bp)</t>
        </is>
      </c>
    </row>
    <row r="24">
      <c r="A24" s="15" t="n">
        <v>46261</v>
      </c>
      <c r="B24" s="16" t="n">
        <v>4.2</v>
      </c>
      <c r="C24" s="17">
        <f>(B24-B25)*100</f>
        <v/>
      </c>
      <c r="D24" s="16" t="n">
        <v>4.3</v>
      </c>
      <c r="E24" s="17">
        <f>(D24-D25)*100</f>
        <v/>
      </c>
      <c r="F24" s="16" t="n">
        <v>4.67</v>
      </c>
      <c r="G24" s="17">
        <f>(F24-F25)*100</f>
        <v/>
      </c>
      <c r="H24" s="16" t="n">
        <v>5.19</v>
      </c>
      <c r="I24" s="17">
        <f>(H24-H25)*100</f>
        <v/>
      </c>
      <c r="J24" s="17">
        <f>(F24-B24)*100</f>
        <v/>
      </c>
      <c r="K24" s="18">
        <f>(J24-$D$9)/$E$9</f>
        <v/>
      </c>
      <c r="L24" s="17">
        <f>(F24-D24)*100</f>
        <v/>
      </c>
      <c r="M24" s="18">
        <f>(L24-$D$10)/$E$10</f>
        <v/>
      </c>
      <c r="N24" s="17">
        <f>(H24-F24)*100</f>
        <v/>
      </c>
      <c r="O24" s="18">
        <f>(N24-$D$11)/$E$11</f>
        <v/>
      </c>
      <c r="P24" s="17">
        <f>(H24-B24)*100</f>
        <v/>
      </c>
      <c r="Q24" s="18">
        <f>(P24-$D$12)/$E$12</f>
        <v/>
      </c>
      <c r="R24" s="17">
        <f>J24-J25</f>
        <v/>
      </c>
      <c r="S24" s="17">
        <f>L24-L25</f>
        <v/>
      </c>
      <c r="T24" s="17">
        <f>N24-N25</f>
        <v/>
      </c>
      <c r="U24" s="17">
        <f>P24-P25</f>
        <v/>
      </c>
    </row>
    <row r="25">
      <c r="A25" s="15" t="n">
        <v>46260</v>
      </c>
      <c r="B25" s="16" t="n">
        <v>4.19</v>
      </c>
      <c r="C25" s="17">
        <f>(B25-B26)*100</f>
        <v/>
      </c>
      <c r="D25" s="16" t="n">
        <v>4.29</v>
      </c>
      <c r="E25" s="17">
        <f>(D25-D26)*100</f>
        <v/>
      </c>
      <c r="F25" s="16" t="n">
        <v>4.66</v>
      </c>
      <c r="G25" s="17">
        <f>(F25-F26)*100</f>
        <v/>
      </c>
      <c r="H25" s="16" t="n">
        <v>5.18</v>
      </c>
      <c r="I25" s="17">
        <f>(H25-H26)*100</f>
        <v/>
      </c>
      <c r="J25" s="17">
        <f>(F25-B25)*100</f>
        <v/>
      </c>
      <c r="K25" s="18">
        <f>(J25-$D$9)/$E$9</f>
        <v/>
      </c>
      <c r="L25" s="17">
        <f>(F25-D25)*100</f>
        <v/>
      </c>
      <c r="M25" s="18">
        <f>(L25-$D$10)/$E$10</f>
        <v/>
      </c>
      <c r="N25" s="17">
        <f>(H25-F25)*100</f>
        <v/>
      </c>
      <c r="O25" s="18">
        <f>(N25-$D$11)/$E$11</f>
        <v/>
      </c>
      <c r="P25" s="17">
        <f>(H25-B25)*100</f>
        <v/>
      </c>
      <c r="Q25" s="18">
        <f>(P25-$D$12)/$E$12</f>
        <v/>
      </c>
      <c r="R25" s="17">
        <f>J25-J26</f>
        <v/>
      </c>
      <c r="S25" s="17">
        <f>L25-L26</f>
        <v/>
      </c>
      <c r="T25" s="17">
        <f>N25-N26</f>
        <v/>
      </c>
      <c r="U25" s="17">
        <f>P25-P26</f>
        <v/>
      </c>
    </row>
    <row r="26">
      <c r="A26" s="15" t="n">
        <v>46259</v>
      </c>
      <c r="B26" s="16" t="n">
        <v>4.17</v>
      </c>
      <c r="C26" s="17">
        <f>(B26-B27)*100</f>
        <v/>
      </c>
      <c r="D26" s="16" t="n">
        <v>4.25</v>
      </c>
      <c r="E26" s="17">
        <f>(D26-D27)*100</f>
        <v/>
      </c>
      <c r="F26" s="16" t="n">
        <v>4.64</v>
      </c>
      <c r="G26" s="17">
        <f>(F26-F27)*100</f>
        <v/>
      </c>
      <c r="H26" s="16" t="n">
        <v>5.17</v>
      </c>
      <c r="I26" s="17">
        <f>(H26-H27)*100</f>
        <v/>
      </c>
      <c r="J26" s="17">
        <f>(F26-B26)*100</f>
        <v/>
      </c>
      <c r="K26" s="18">
        <f>(J26-$D$9)/$E$9</f>
        <v/>
      </c>
      <c r="L26" s="17">
        <f>(F26-D26)*100</f>
        <v/>
      </c>
      <c r="M26" s="18">
        <f>(L26-$D$10)/$E$10</f>
        <v/>
      </c>
      <c r="N26" s="17">
        <f>(H26-F26)*100</f>
        <v/>
      </c>
      <c r="O26" s="18">
        <f>(N26-$D$11)/$E$11</f>
        <v/>
      </c>
      <c r="P26" s="17">
        <f>(H26-B26)*100</f>
        <v/>
      </c>
      <c r="Q26" s="18">
        <f>(P26-$D$12)/$E$12</f>
        <v/>
      </c>
      <c r="R26" s="17">
        <f>J26-J27</f>
        <v/>
      </c>
      <c r="S26" s="17">
        <f>L26-L27</f>
        <v/>
      </c>
      <c r="T26" s="17">
        <f>N26-N27</f>
        <v/>
      </c>
      <c r="U26" s="17">
        <f>P26-P27</f>
        <v/>
      </c>
    </row>
    <row r="27">
      <c r="A27" s="15" t="n">
        <v>46258</v>
      </c>
      <c r="B27" s="16" t="n">
        <v>4.24</v>
      </c>
      <c r="C27" s="17">
        <f>(B27-B28)*100</f>
        <v/>
      </c>
      <c r="D27" s="16" t="n">
        <v>4.31</v>
      </c>
      <c r="E27" s="17">
        <f>(D27-D28)*100</f>
        <v/>
      </c>
      <c r="F27" s="16" t="n">
        <v>4.7</v>
      </c>
      <c r="G27" s="17">
        <f>(F27-F28)*100</f>
        <v/>
      </c>
      <c r="H27" s="16" t="n">
        <v>5.23</v>
      </c>
      <c r="I27" s="17">
        <f>(H27-H28)*100</f>
        <v/>
      </c>
      <c r="J27" s="17">
        <f>(F27-B27)*100</f>
        <v/>
      </c>
      <c r="K27" s="18">
        <f>(J27-$D$9)/$E$9</f>
        <v/>
      </c>
      <c r="L27" s="17">
        <f>(F27-D27)*100</f>
        <v/>
      </c>
      <c r="M27" s="18">
        <f>(L27-$D$10)/$E$10</f>
        <v/>
      </c>
      <c r="N27" s="17">
        <f>(H27-F27)*100</f>
        <v/>
      </c>
      <c r="O27" s="18">
        <f>(N27-$D$11)/$E$11</f>
        <v/>
      </c>
      <c r="P27" s="17">
        <f>(H27-B27)*100</f>
        <v/>
      </c>
      <c r="Q27" s="18">
        <f>(P27-$D$12)/$E$12</f>
        <v/>
      </c>
      <c r="R27" s="17">
        <f>J27-J28</f>
        <v/>
      </c>
      <c r="S27" s="17">
        <f>L27-L28</f>
        <v/>
      </c>
      <c r="T27" s="17">
        <f>N27-N28</f>
        <v/>
      </c>
      <c r="U27" s="17">
        <f>P27-P28</f>
        <v/>
      </c>
    </row>
    <row r="28">
      <c r="A28" s="15" t="n">
        <v>46255</v>
      </c>
      <c r="B28" s="16" t="n">
        <v>4.24</v>
      </c>
      <c r="C28" s="17">
        <f>(B28-B29)*100</f>
        <v/>
      </c>
      <c r="D28" s="16" t="n">
        <v>4.31</v>
      </c>
      <c r="E28" s="17">
        <f>(D28-D29)*100</f>
        <v/>
      </c>
      <c r="F28" s="16" t="n">
        <v>4.74</v>
      </c>
      <c r="G28" s="17">
        <f>(F28-F29)*100</f>
        <v/>
      </c>
      <c r="H28" s="16" t="n">
        <v>5.27</v>
      </c>
      <c r="I28" s="17">
        <f>(H28-H29)*100</f>
        <v/>
      </c>
      <c r="J28" s="17">
        <f>(F28-B28)*100</f>
        <v/>
      </c>
      <c r="K28" s="18">
        <f>(J28-$D$9)/$E$9</f>
        <v/>
      </c>
      <c r="L28" s="17">
        <f>(F28-D28)*100</f>
        <v/>
      </c>
      <c r="M28" s="18">
        <f>(L28-$D$10)/$E$10</f>
        <v/>
      </c>
      <c r="N28" s="17">
        <f>(H28-F28)*100</f>
        <v/>
      </c>
      <c r="O28" s="18">
        <f>(N28-$D$11)/$E$11</f>
        <v/>
      </c>
      <c r="P28" s="17">
        <f>(H28-B28)*100</f>
        <v/>
      </c>
      <c r="Q28" s="18">
        <f>(P28-$D$12)/$E$12</f>
        <v/>
      </c>
      <c r="R28" s="17">
        <f>J28-J29</f>
        <v/>
      </c>
      <c r="S28" s="17">
        <f>L28-L29</f>
        <v/>
      </c>
      <c r="T28" s="17">
        <f>N28-N29</f>
        <v/>
      </c>
      <c r="U28" s="17">
        <f>P28-P29</f>
        <v/>
      </c>
    </row>
    <row r="29">
      <c r="A29" s="15" t="n">
        <v>46254</v>
      </c>
      <c r="B29" s="16" t="n">
        <v>4.19</v>
      </c>
      <c r="C29" s="17">
        <f>(B29-B30)*100</f>
        <v/>
      </c>
      <c r="D29" s="16" t="n">
        <v>4.26</v>
      </c>
      <c r="E29" s="17">
        <f>(D29-D30)*100</f>
        <v/>
      </c>
      <c r="F29" s="16" t="n">
        <v>4.69</v>
      </c>
      <c r="G29" s="17">
        <f>(F29-F30)*100</f>
        <v/>
      </c>
      <c r="H29" s="16" t="n">
        <v>5.23</v>
      </c>
      <c r="I29" s="17">
        <f>(H29-H30)*100</f>
        <v/>
      </c>
      <c r="J29" s="17">
        <f>(F29-B29)*100</f>
        <v/>
      </c>
      <c r="K29" s="18">
        <f>(J29-$D$9)/$E$9</f>
        <v/>
      </c>
      <c r="L29" s="17">
        <f>(F29-D29)*100</f>
        <v/>
      </c>
      <c r="M29" s="18">
        <f>(L29-$D$10)/$E$10</f>
        <v/>
      </c>
      <c r="N29" s="17">
        <f>(H29-F29)*100</f>
        <v/>
      </c>
      <c r="O29" s="18">
        <f>(N29-$D$11)/$E$11</f>
        <v/>
      </c>
      <c r="P29" s="17">
        <f>(H29-B29)*100</f>
        <v/>
      </c>
      <c r="Q29" s="18">
        <f>(P29-$D$12)/$E$12</f>
        <v/>
      </c>
      <c r="R29" s="17">
        <f>J29-J30</f>
        <v/>
      </c>
      <c r="S29" s="17">
        <f>L29-L30</f>
        <v/>
      </c>
      <c r="T29" s="17">
        <f>N29-N30</f>
        <v/>
      </c>
      <c r="U29" s="17">
        <f>P29-P30</f>
        <v/>
      </c>
    </row>
    <row r="30">
      <c r="A30" s="15" t="n">
        <v>46253</v>
      </c>
      <c r="B30" s="16" t="n">
        <v>4.19</v>
      </c>
      <c r="C30" s="17">
        <f>(B30-B31)*100</f>
        <v/>
      </c>
      <c r="D30" s="16" t="n">
        <v>4.25</v>
      </c>
      <c r="E30" s="17">
        <f>(D30-D31)*100</f>
        <v/>
      </c>
      <c r="F30" s="16" t="n">
        <v>4.65</v>
      </c>
      <c r="G30" s="17">
        <f>(F30-F31)*100</f>
        <v/>
      </c>
      <c r="H30" s="16" t="n">
        <v>5.19</v>
      </c>
      <c r="I30" s="17">
        <f>(H30-H31)*100</f>
        <v/>
      </c>
      <c r="J30" s="17">
        <f>(F30-B30)*100</f>
        <v/>
      </c>
      <c r="K30" s="18">
        <f>(J30-$D$9)/$E$9</f>
        <v/>
      </c>
      <c r="L30" s="17">
        <f>(F30-D30)*100</f>
        <v/>
      </c>
      <c r="M30" s="18">
        <f>(L30-$D$10)/$E$10</f>
        <v/>
      </c>
      <c r="N30" s="17">
        <f>(H30-F30)*100</f>
        <v/>
      </c>
      <c r="O30" s="18">
        <f>(N30-$D$11)/$E$11</f>
        <v/>
      </c>
      <c r="P30" s="17">
        <f>(H30-B30)*100</f>
        <v/>
      </c>
      <c r="Q30" s="18">
        <f>(P30-$D$12)/$E$12</f>
        <v/>
      </c>
      <c r="R30" s="17">
        <f>J30-J31</f>
        <v/>
      </c>
      <c r="S30" s="17">
        <f>L30-L31</f>
        <v/>
      </c>
      <c r="T30" s="17">
        <f>N30-N31</f>
        <v/>
      </c>
      <c r="U30" s="17">
        <f>P30-P31</f>
        <v/>
      </c>
    </row>
    <row r="31">
      <c r="A31" s="15" t="n">
        <v>46252</v>
      </c>
      <c r="B31" s="16" t="n">
        <v>4.19</v>
      </c>
      <c r="C31" s="17">
        <f>(B31-B32)*100</f>
        <v/>
      </c>
      <c r="D31" s="16" t="n">
        <v>4.26</v>
      </c>
      <c r="E31" s="17">
        <f>(D31-D32)*100</f>
        <v/>
      </c>
      <c r="F31" s="16" t="n">
        <v>4.71</v>
      </c>
      <c r="G31" s="17">
        <f>(F31-F32)*100</f>
        <v/>
      </c>
      <c r="H31" s="16" t="n">
        <v>5.28</v>
      </c>
      <c r="I31" s="17">
        <f>(H31-H32)*100</f>
        <v/>
      </c>
      <c r="J31" s="17">
        <f>(F31-B31)*100</f>
        <v/>
      </c>
      <c r="K31" s="18">
        <f>(J31-$D$9)/$E$9</f>
        <v/>
      </c>
      <c r="L31" s="17">
        <f>(F31-D31)*100</f>
        <v/>
      </c>
      <c r="M31" s="18">
        <f>(L31-$D$10)/$E$10</f>
        <v/>
      </c>
      <c r="N31" s="17">
        <f>(H31-F31)*100</f>
        <v/>
      </c>
      <c r="O31" s="18">
        <f>(N31-$D$11)/$E$11</f>
        <v/>
      </c>
      <c r="P31" s="17">
        <f>(H31-B31)*100</f>
        <v/>
      </c>
      <c r="Q31" s="18">
        <f>(P31-$D$12)/$E$12</f>
        <v/>
      </c>
      <c r="R31" s="17">
        <f>J31-J32</f>
        <v/>
      </c>
      <c r="S31" s="17">
        <f>L31-L32</f>
        <v/>
      </c>
      <c r="T31" s="17">
        <f>N31-N32</f>
        <v/>
      </c>
      <c r="U31" s="17">
        <f>P31-P32</f>
        <v/>
      </c>
    </row>
    <row r="32">
      <c r="A32" s="15" t="n">
        <v>46251</v>
      </c>
      <c r="B32" s="16" t="n">
        <v>4.19</v>
      </c>
      <c r="C32" s="17">
        <f>(B32-B33)*100</f>
        <v/>
      </c>
      <c r="D32" s="16" t="n">
        <v>4.25</v>
      </c>
      <c r="E32" s="17">
        <f>(D32-D33)*100</f>
        <v/>
      </c>
      <c r="F32" s="16" t="n">
        <v>4.72</v>
      </c>
      <c r="G32" s="17">
        <f>(F32-F33)*100</f>
        <v/>
      </c>
      <c r="H32" s="16" t="n">
        <v>5.31</v>
      </c>
      <c r="I32" s="17">
        <f>(H32-H33)*100</f>
        <v/>
      </c>
      <c r="J32" s="17">
        <f>(F32-B32)*100</f>
        <v/>
      </c>
      <c r="K32" s="18">
        <f>(J32-$D$9)/$E$9</f>
        <v/>
      </c>
      <c r="L32" s="17">
        <f>(F32-D32)*100</f>
        <v/>
      </c>
      <c r="M32" s="18">
        <f>(L32-$D$10)/$E$10</f>
        <v/>
      </c>
      <c r="N32" s="17">
        <f>(H32-F32)*100</f>
        <v/>
      </c>
      <c r="O32" s="18">
        <f>(N32-$D$11)/$E$11</f>
        <v/>
      </c>
      <c r="P32" s="17">
        <f>(H32-B32)*100</f>
        <v/>
      </c>
      <c r="Q32" s="18">
        <f>(P32-$D$12)/$E$12</f>
        <v/>
      </c>
      <c r="R32" s="17">
        <f>J32-J33</f>
        <v/>
      </c>
      <c r="S32" s="17">
        <f>L32-L33</f>
        <v/>
      </c>
      <c r="T32" s="17">
        <f>N32-N33</f>
        <v/>
      </c>
      <c r="U32" s="17">
        <f>P32-P33</f>
        <v/>
      </c>
    </row>
    <row r="33">
      <c r="A33" s="15" t="n">
        <v>46248</v>
      </c>
      <c r="B33" s="16" t="n">
        <v>4.17</v>
      </c>
      <c r="C33" s="17">
        <f>(B33-B34)*100</f>
        <v/>
      </c>
      <c r="D33" s="16" t="n">
        <v>4.24</v>
      </c>
      <c r="E33" s="17">
        <f>(D33-D34)*100</f>
        <v/>
      </c>
      <c r="F33" s="16" t="n">
        <v>4.68</v>
      </c>
      <c r="G33" s="17">
        <f>(F33-F34)*100</f>
        <v/>
      </c>
      <c r="H33" s="16" t="n">
        <v>5.25</v>
      </c>
      <c r="I33" s="17">
        <f>(H33-H34)*100</f>
        <v/>
      </c>
      <c r="J33" s="17">
        <f>(F33-B33)*100</f>
        <v/>
      </c>
      <c r="K33" s="18">
        <f>(J33-$D$9)/$E$9</f>
        <v/>
      </c>
      <c r="L33" s="17">
        <f>(F33-D33)*100</f>
        <v/>
      </c>
      <c r="M33" s="18">
        <f>(L33-$D$10)/$E$10</f>
        <v/>
      </c>
      <c r="N33" s="17">
        <f>(H33-F33)*100</f>
        <v/>
      </c>
      <c r="O33" s="18">
        <f>(N33-$D$11)/$E$11</f>
        <v/>
      </c>
      <c r="P33" s="17">
        <f>(H33-B33)*100</f>
        <v/>
      </c>
      <c r="Q33" s="18">
        <f>(P33-$D$12)/$E$12</f>
        <v/>
      </c>
      <c r="R33" s="17">
        <f>J33-J34</f>
        <v/>
      </c>
      <c r="S33" s="17">
        <f>L33-L34</f>
        <v/>
      </c>
      <c r="T33" s="17">
        <f>N33-N34</f>
        <v/>
      </c>
      <c r="U33" s="17">
        <f>P33-P34</f>
        <v/>
      </c>
    </row>
    <row r="34">
      <c r="A34" s="15" t="n">
        <v>46247</v>
      </c>
      <c r="B34" s="16" t="n">
        <v>4.15</v>
      </c>
      <c r="C34" s="17">
        <f>(B34-B35)*100</f>
        <v/>
      </c>
      <c r="D34" s="16" t="n">
        <v>4.2</v>
      </c>
      <c r="E34" s="17">
        <f>(D34-D35)*100</f>
        <v/>
      </c>
      <c r="F34" s="16" t="n">
        <v>4.63</v>
      </c>
      <c r="G34" s="17">
        <f>(F34-F35)*100</f>
        <v/>
      </c>
      <c r="H34" s="16" t="n">
        <v>5.21</v>
      </c>
      <c r="I34" s="17">
        <f>(H34-H35)*100</f>
        <v/>
      </c>
      <c r="J34" s="17">
        <f>(F34-B34)*100</f>
        <v/>
      </c>
      <c r="K34" s="18">
        <f>(J34-$D$9)/$E$9</f>
        <v/>
      </c>
      <c r="L34" s="17">
        <f>(F34-D34)*100</f>
        <v/>
      </c>
      <c r="M34" s="18">
        <f>(L34-$D$10)/$E$10</f>
        <v/>
      </c>
      <c r="N34" s="17">
        <f>(H34-F34)*100</f>
        <v/>
      </c>
      <c r="O34" s="18">
        <f>(N34-$D$11)/$E$11</f>
        <v/>
      </c>
      <c r="P34" s="17">
        <f>(H34-B34)*100</f>
        <v/>
      </c>
      <c r="Q34" s="18">
        <f>(P34-$D$12)/$E$12</f>
        <v/>
      </c>
      <c r="R34" s="17">
        <f>J34-J35</f>
        <v/>
      </c>
      <c r="S34" s="17">
        <f>L34-L35</f>
        <v/>
      </c>
      <c r="T34" s="17">
        <f>N34-N35</f>
        <v/>
      </c>
      <c r="U34" s="17">
        <f>P34-P35</f>
        <v/>
      </c>
    </row>
    <row r="35">
      <c r="A35" s="15" t="n">
        <v>46246</v>
      </c>
      <c r="B35" s="16" t="n">
        <v>4.2</v>
      </c>
      <c r="C35" s="17">
        <f>(B35-B36)*100</f>
        <v/>
      </c>
      <c r="D35" s="16" t="n">
        <v>4.25</v>
      </c>
      <c r="E35" s="17">
        <f>(D35-D36)*100</f>
        <v/>
      </c>
      <c r="F35" s="16" t="n">
        <v>4.68</v>
      </c>
      <c r="G35" s="17">
        <f>(F35-F36)*100</f>
        <v/>
      </c>
      <c r="H35" s="16" t="n">
        <v>5.24</v>
      </c>
      <c r="I35" s="17">
        <f>(H35-H36)*100</f>
        <v/>
      </c>
      <c r="J35" s="17">
        <f>(F35-B35)*100</f>
        <v/>
      </c>
      <c r="K35" s="18">
        <f>(J35-$D$9)/$E$9</f>
        <v/>
      </c>
      <c r="L35" s="17">
        <f>(F35-D35)*100</f>
        <v/>
      </c>
      <c r="M35" s="18">
        <f>(L35-$D$10)/$E$10</f>
        <v/>
      </c>
      <c r="N35" s="17">
        <f>(H35-F35)*100</f>
        <v/>
      </c>
      <c r="O35" s="18">
        <f>(N35-$D$11)/$E$11</f>
        <v/>
      </c>
      <c r="P35" s="17">
        <f>(H35-B35)*100</f>
        <v/>
      </c>
      <c r="Q35" s="18">
        <f>(P35-$D$12)/$E$12</f>
        <v/>
      </c>
      <c r="R35" s="17">
        <f>J35-J36</f>
        <v/>
      </c>
      <c r="S35" s="17">
        <f>L35-L36</f>
        <v/>
      </c>
      <c r="T35" s="17">
        <f>N35-N36</f>
        <v/>
      </c>
      <c r="U35" s="17">
        <f>P35-P36</f>
        <v/>
      </c>
    </row>
    <row r="36">
      <c r="A36" s="15" t="n">
        <v>46245</v>
      </c>
      <c r="B36" s="16" t="n">
        <v>4.22</v>
      </c>
      <c r="C36" s="17">
        <f>(B36-B37)*100</f>
        <v/>
      </c>
      <c r="D36" s="16" t="n">
        <v>4.27</v>
      </c>
      <c r="E36" s="17">
        <f>(D36-D37)*100</f>
        <v/>
      </c>
      <c r="F36" s="16" t="n">
        <v>4.7</v>
      </c>
      <c r="G36" s="17">
        <f>(F36-F37)*100</f>
        <v/>
      </c>
      <c r="H36" s="16" t="n">
        <v>5.24</v>
      </c>
      <c r="I36" s="17">
        <f>(H36-H37)*100</f>
        <v/>
      </c>
      <c r="J36" s="17">
        <f>(F36-B36)*100</f>
        <v/>
      </c>
      <c r="K36" s="18">
        <f>(J36-$D$9)/$E$9</f>
        <v/>
      </c>
      <c r="L36" s="17">
        <f>(F36-D36)*100</f>
        <v/>
      </c>
      <c r="M36" s="18">
        <f>(L36-$D$10)/$E$10</f>
        <v/>
      </c>
      <c r="N36" s="17">
        <f>(H36-F36)*100</f>
        <v/>
      </c>
      <c r="O36" s="18">
        <f>(N36-$D$11)/$E$11</f>
        <v/>
      </c>
      <c r="P36" s="17">
        <f>(H36-B36)*100</f>
        <v/>
      </c>
      <c r="Q36" s="18">
        <f>(P36-$D$12)/$E$12</f>
        <v/>
      </c>
      <c r="R36" s="17">
        <f>J36-J37</f>
        <v/>
      </c>
      <c r="S36" s="17">
        <f>L36-L37</f>
        <v/>
      </c>
      <c r="T36" s="17">
        <f>N36-N37</f>
        <v/>
      </c>
      <c r="U36" s="17">
        <f>P36-P37</f>
        <v/>
      </c>
    </row>
    <row r="37">
      <c r="A37" s="15" t="n">
        <v>46244</v>
      </c>
      <c r="B37" s="16" t="n">
        <v>4.25</v>
      </c>
      <c r="C37" s="17">
        <f>(B37-B38)*100</f>
        <v/>
      </c>
      <c r="D37" s="16" t="n">
        <v>4.31</v>
      </c>
      <c r="E37" s="17">
        <f>(D37-D38)*100</f>
        <v/>
      </c>
      <c r="F37" s="16" t="n">
        <v>4.72</v>
      </c>
      <c r="G37" s="17">
        <f>(F37-F38)*100</f>
        <v/>
      </c>
      <c r="H37" s="16" t="n">
        <v>5.25</v>
      </c>
      <c r="I37" s="17">
        <f>(H37-H38)*100</f>
        <v/>
      </c>
      <c r="J37" s="17">
        <f>(F37-B37)*100</f>
        <v/>
      </c>
      <c r="K37" s="18">
        <f>(J37-$D$9)/$E$9</f>
        <v/>
      </c>
      <c r="L37" s="17">
        <f>(F37-D37)*100</f>
        <v/>
      </c>
      <c r="M37" s="18">
        <f>(L37-$D$10)/$E$10</f>
        <v/>
      </c>
      <c r="N37" s="17">
        <f>(H37-F37)*100</f>
        <v/>
      </c>
      <c r="O37" s="18">
        <f>(N37-$D$11)/$E$11</f>
        <v/>
      </c>
      <c r="P37" s="17">
        <f>(H37-B37)*100</f>
        <v/>
      </c>
      <c r="Q37" s="18">
        <f>(P37-$D$12)/$E$12</f>
        <v/>
      </c>
      <c r="R37" s="17">
        <f>J37-J38</f>
        <v/>
      </c>
      <c r="S37" s="17">
        <f>L37-L38</f>
        <v/>
      </c>
      <c r="T37" s="17">
        <f>N37-N38</f>
        <v/>
      </c>
      <c r="U37" s="17">
        <f>P37-P38</f>
        <v/>
      </c>
    </row>
    <row r="38">
      <c r="A38" s="15" t="n">
        <v>46241</v>
      </c>
      <c r="B38" s="16" t="n">
        <v>4.19</v>
      </c>
      <c r="C38" s="17">
        <f>(B38-B39)*100</f>
        <v/>
      </c>
      <c r="D38" s="16" t="n">
        <v>4.25</v>
      </c>
      <c r="E38" s="17">
        <f>(D38-D39)*100</f>
        <v/>
      </c>
      <c r="F38" s="16" t="n">
        <v>4.65</v>
      </c>
      <c r="G38" s="17">
        <f>(F38-F39)*100</f>
        <v/>
      </c>
      <c r="H38" s="16" t="n">
        <v>5.19</v>
      </c>
      <c r="I38" s="17">
        <f>(H38-H39)*100</f>
        <v/>
      </c>
      <c r="J38" s="17">
        <f>(F38-B38)*100</f>
        <v/>
      </c>
      <c r="K38" s="18">
        <f>(J38-$D$9)/$E$9</f>
        <v/>
      </c>
      <c r="L38" s="17">
        <f>(F38-D38)*100</f>
        <v/>
      </c>
      <c r="M38" s="18">
        <f>(L38-$D$10)/$E$10</f>
        <v/>
      </c>
      <c r="N38" s="17">
        <f>(H38-F38)*100</f>
        <v/>
      </c>
      <c r="O38" s="18">
        <f>(N38-$D$11)/$E$11</f>
        <v/>
      </c>
      <c r="P38" s="17">
        <f>(H38-B38)*100</f>
        <v/>
      </c>
      <c r="Q38" s="18">
        <f>(P38-$D$12)/$E$12</f>
        <v/>
      </c>
      <c r="R38" s="17">
        <f>J38-J39</f>
        <v/>
      </c>
      <c r="S38" s="17">
        <f>L38-L39</f>
        <v/>
      </c>
      <c r="T38" s="17">
        <f>N38-N39</f>
        <v/>
      </c>
      <c r="U38" s="17">
        <f>P38-P39</f>
        <v/>
      </c>
    </row>
    <row r="39">
      <c r="A39" s="15" t="n">
        <v>46240</v>
      </c>
      <c r="B39" s="16" t="n">
        <v>4.25</v>
      </c>
      <c r="C39" s="17">
        <f>(B39-B40)*100</f>
        <v/>
      </c>
      <c r="D39" s="16" t="n">
        <v>4.31</v>
      </c>
      <c r="E39" s="17">
        <f>(D39-D40)*100</f>
        <v/>
      </c>
      <c r="F39" s="16" t="n">
        <v>4.69</v>
      </c>
      <c r="G39" s="17">
        <f>(F39-F40)*100</f>
        <v/>
      </c>
      <c r="H39" s="16" t="n">
        <v>5.22</v>
      </c>
      <c r="I39" s="17">
        <f>(H39-H40)*100</f>
        <v/>
      </c>
      <c r="J39" s="17">
        <f>(F39-B39)*100</f>
        <v/>
      </c>
      <c r="K39" s="18">
        <f>(J39-$D$9)/$E$9</f>
        <v/>
      </c>
      <c r="L39" s="17">
        <f>(F39-D39)*100</f>
        <v/>
      </c>
      <c r="M39" s="18">
        <f>(L39-$D$10)/$E$10</f>
        <v/>
      </c>
      <c r="N39" s="17">
        <f>(H39-F39)*100</f>
        <v/>
      </c>
      <c r="O39" s="18">
        <f>(N39-$D$11)/$E$11</f>
        <v/>
      </c>
      <c r="P39" s="17">
        <f>(H39-B39)*100</f>
        <v/>
      </c>
      <c r="Q39" s="18">
        <f>(P39-$D$12)/$E$12</f>
        <v/>
      </c>
      <c r="R39" s="17">
        <f>J39-J40</f>
        <v/>
      </c>
      <c r="S39" s="17">
        <f>L39-L40</f>
        <v/>
      </c>
      <c r="T39" s="17">
        <f>N39-N40</f>
        <v/>
      </c>
      <c r="U39" s="17">
        <f>P39-P40</f>
        <v/>
      </c>
    </row>
    <row r="40">
      <c r="A40" s="15" t="n">
        <v>46239</v>
      </c>
      <c r="B40" s="16" t="n">
        <v>4.18</v>
      </c>
      <c r="C40" s="17">
        <f>(B40-B41)*100</f>
        <v/>
      </c>
      <c r="D40" s="16" t="n">
        <v>4.24</v>
      </c>
      <c r="E40" s="17">
        <f>(D40-D41)*100</f>
        <v/>
      </c>
      <c r="F40" s="16" t="n">
        <v>4.63</v>
      </c>
      <c r="G40" s="17">
        <f>(F40-F41)*100</f>
        <v/>
      </c>
      <c r="H40" s="16" t="n">
        <v>5.17</v>
      </c>
      <c r="I40" s="17">
        <f>(H40-H41)*100</f>
        <v/>
      </c>
      <c r="J40" s="17">
        <f>(F40-B40)*100</f>
        <v/>
      </c>
      <c r="K40" s="18">
        <f>(J40-$D$9)/$E$9</f>
        <v/>
      </c>
      <c r="L40" s="17">
        <f>(F40-D40)*100</f>
        <v/>
      </c>
      <c r="M40" s="18">
        <f>(L40-$D$10)/$E$10</f>
        <v/>
      </c>
      <c r="N40" s="17">
        <f>(H40-F40)*100</f>
        <v/>
      </c>
      <c r="O40" s="18">
        <f>(N40-$D$11)/$E$11</f>
        <v/>
      </c>
      <c r="P40" s="17">
        <f>(H40-B40)*100</f>
        <v/>
      </c>
      <c r="Q40" s="18">
        <f>(P40-$D$12)/$E$12</f>
        <v/>
      </c>
      <c r="R40" s="17">
        <f>J40-J41</f>
        <v/>
      </c>
      <c r="S40" s="17">
        <f>L40-L41</f>
        <v/>
      </c>
      <c r="T40" s="17">
        <f>N40-N41</f>
        <v/>
      </c>
      <c r="U40" s="17">
        <f>P40-P41</f>
        <v/>
      </c>
    </row>
    <row r="41">
      <c r="A41" s="15" t="n">
        <v>46238</v>
      </c>
      <c r="B41" s="16" t="n">
        <v>4.2</v>
      </c>
      <c r="C41" s="17">
        <f>(B41-B42)*100</f>
        <v/>
      </c>
      <c r="D41" s="16" t="n">
        <v>4.25</v>
      </c>
      <c r="E41" s="17">
        <f>(D41-D42)*100</f>
        <v/>
      </c>
      <c r="F41" s="16" t="n">
        <v>4.63</v>
      </c>
      <c r="G41" s="17">
        <f>(F41-F42)*100</f>
        <v/>
      </c>
      <c r="H41" s="16" t="n">
        <v>5.18</v>
      </c>
      <c r="I41" s="17">
        <f>(H41-H42)*100</f>
        <v/>
      </c>
      <c r="J41" s="17">
        <f>(F41-B41)*100</f>
        <v/>
      </c>
      <c r="K41" s="18">
        <f>(J41-$D$9)/$E$9</f>
        <v/>
      </c>
      <c r="L41" s="17">
        <f>(F41-D41)*100</f>
        <v/>
      </c>
      <c r="M41" s="18">
        <f>(L41-$D$10)/$E$10</f>
        <v/>
      </c>
      <c r="N41" s="17">
        <f>(H41-F41)*100</f>
        <v/>
      </c>
      <c r="O41" s="18">
        <f>(N41-$D$11)/$E$11</f>
        <v/>
      </c>
      <c r="P41" s="17">
        <f>(H41-B41)*100</f>
        <v/>
      </c>
      <c r="Q41" s="18">
        <f>(P41-$D$12)/$E$12</f>
        <v/>
      </c>
      <c r="R41" s="17">
        <f>J41-J42</f>
        <v/>
      </c>
      <c r="S41" s="17">
        <f>L41-L42</f>
        <v/>
      </c>
      <c r="T41" s="17">
        <f>N41-N42</f>
        <v/>
      </c>
      <c r="U41" s="17">
        <f>P41-P42</f>
        <v/>
      </c>
    </row>
    <row r="42">
      <c r="A42" s="15" t="n">
        <v>46237</v>
      </c>
      <c r="B42" s="16" t="n">
        <v>4.25</v>
      </c>
      <c r="C42" s="17">
        <f>(B42-B43)*100</f>
        <v/>
      </c>
      <c r="D42" s="16" t="n">
        <v>4.32</v>
      </c>
      <c r="E42" s="17">
        <f>(D42-D43)*100</f>
        <v/>
      </c>
      <c r="F42" s="16" t="n">
        <v>4.7</v>
      </c>
      <c r="G42" s="17">
        <f>(F42-F43)*100</f>
        <v/>
      </c>
      <c r="H42" s="16" t="n">
        <v>5.23</v>
      </c>
      <c r="I42" s="17">
        <f>(H42-H43)*100</f>
        <v/>
      </c>
      <c r="J42" s="17">
        <f>(F42-B42)*100</f>
        <v/>
      </c>
      <c r="K42" s="18">
        <f>(J42-$D$9)/$E$9</f>
        <v/>
      </c>
      <c r="L42" s="17">
        <f>(F42-D42)*100</f>
        <v/>
      </c>
      <c r="M42" s="18">
        <f>(L42-$D$10)/$E$10</f>
        <v/>
      </c>
      <c r="N42" s="17">
        <f>(H42-F42)*100</f>
        <v/>
      </c>
      <c r="O42" s="18">
        <f>(N42-$D$11)/$E$11</f>
        <v/>
      </c>
      <c r="P42" s="17">
        <f>(H42-B42)*100</f>
        <v/>
      </c>
      <c r="Q42" s="18">
        <f>(P42-$D$12)/$E$12</f>
        <v/>
      </c>
      <c r="R42" s="17">
        <f>J42-J43</f>
        <v/>
      </c>
      <c r="S42" s="17">
        <f>L42-L43</f>
        <v/>
      </c>
      <c r="T42" s="17">
        <f>N42-N43</f>
        <v/>
      </c>
      <c r="U42" s="17">
        <f>P42-P43</f>
        <v/>
      </c>
    </row>
    <row r="43">
      <c r="A43" s="15" t="n">
        <v>46234</v>
      </c>
      <c r="B43" s="16" t="n">
        <v>4.28</v>
      </c>
      <c r="C43" s="17">
        <f>(B43-B44)*100</f>
        <v/>
      </c>
      <c r="D43" s="16" t="n">
        <v>4.34</v>
      </c>
      <c r="E43" s="17">
        <f>(D43-D44)*100</f>
        <v/>
      </c>
      <c r="F43" s="16" t="n">
        <v>4.75</v>
      </c>
      <c r="G43" s="17">
        <f>(F43-F44)*100</f>
        <v/>
      </c>
      <c r="H43" s="16" t="n">
        <v>5.27</v>
      </c>
      <c r="I43" s="17">
        <f>(H43-H44)*100</f>
        <v/>
      </c>
      <c r="J43" s="17">
        <f>(F43-B43)*100</f>
        <v/>
      </c>
      <c r="K43" s="18">
        <f>(J43-$D$9)/$E$9</f>
        <v/>
      </c>
      <c r="L43" s="17">
        <f>(F43-D43)*100</f>
        <v/>
      </c>
      <c r="M43" s="18">
        <f>(L43-$D$10)/$E$10</f>
        <v/>
      </c>
      <c r="N43" s="17">
        <f>(H43-F43)*100</f>
        <v/>
      </c>
      <c r="O43" s="18">
        <f>(N43-$D$11)/$E$11</f>
        <v/>
      </c>
      <c r="P43" s="17">
        <f>(H43-B43)*100</f>
        <v/>
      </c>
      <c r="Q43" s="18">
        <f>(P43-$D$12)/$E$12</f>
        <v/>
      </c>
      <c r="R43" s="17">
        <f>J43-J44</f>
        <v/>
      </c>
      <c r="S43" s="17">
        <f>L43-L44</f>
        <v/>
      </c>
      <c r="T43" s="17">
        <f>N43-N44</f>
        <v/>
      </c>
      <c r="U43" s="17">
        <f>P43-P44</f>
        <v/>
      </c>
    </row>
    <row r="44">
      <c r="A44" s="15" t="n">
        <v>46233</v>
      </c>
      <c r="B44" s="16" t="n">
        <v>4.23</v>
      </c>
      <c r="C44" s="17">
        <f>(B44-B45)*100</f>
        <v/>
      </c>
      <c r="D44" s="16" t="n">
        <v>4.3</v>
      </c>
      <c r="E44" s="17">
        <f>(D44-D45)*100</f>
        <v/>
      </c>
      <c r="F44" s="16" t="n">
        <v>4.68</v>
      </c>
      <c r="G44" s="17">
        <f>(F44-F45)*100</f>
        <v/>
      </c>
      <c r="H44" s="16" t="n">
        <v>5.21</v>
      </c>
      <c r="I44" s="17">
        <f>(H44-H45)*100</f>
        <v/>
      </c>
      <c r="J44" s="17">
        <f>(F44-B44)*100</f>
        <v/>
      </c>
      <c r="K44" s="18">
        <f>(J44-$D$9)/$E$9</f>
        <v/>
      </c>
      <c r="L44" s="17">
        <f>(F44-D44)*100</f>
        <v/>
      </c>
      <c r="M44" s="18">
        <f>(L44-$D$10)/$E$10</f>
        <v/>
      </c>
      <c r="N44" s="17">
        <f>(H44-F44)*100</f>
        <v/>
      </c>
      <c r="O44" s="18">
        <f>(N44-$D$11)/$E$11</f>
        <v/>
      </c>
      <c r="P44" s="17">
        <f>(H44-B44)*100</f>
        <v/>
      </c>
      <c r="Q44" s="18">
        <f>(P44-$D$12)/$E$12</f>
        <v/>
      </c>
      <c r="R44" s="17">
        <f>J44-J45</f>
        <v/>
      </c>
      <c r="S44" s="17">
        <f>L44-L45</f>
        <v/>
      </c>
      <c r="T44" s="17">
        <f>N44-N45</f>
        <v/>
      </c>
      <c r="U44" s="17">
        <f>P44-P45</f>
        <v/>
      </c>
    </row>
    <row r="45">
      <c r="A45" s="15" t="n">
        <v>46232</v>
      </c>
      <c r="B45" s="16" t="n">
        <v>4.22</v>
      </c>
      <c r="C45" s="17">
        <f>(B45-B46)*100</f>
        <v/>
      </c>
      <c r="D45" s="16" t="n">
        <v>4.29</v>
      </c>
      <c r="E45" s="17">
        <f>(D45-D46)*100</f>
        <v/>
      </c>
      <c r="F45" s="16" t="n">
        <v>4.67</v>
      </c>
      <c r="G45" s="17">
        <f>(F45-F46)*100</f>
        <v/>
      </c>
      <c r="H45" s="16" t="n">
        <v>5.2</v>
      </c>
      <c r="I45" s="17">
        <f>(H45-H46)*100</f>
        <v/>
      </c>
      <c r="J45" s="17">
        <f>(F45-B45)*100</f>
        <v/>
      </c>
      <c r="K45" s="18">
        <f>(J45-$D$9)/$E$9</f>
        <v/>
      </c>
      <c r="L45" s="17">
        <f>(F45-D45)*100</f>
        <v/>
      </c>
      <c r="M45" s="18">
        <f>(L45-$D$10)/$E$10</f>
        <v/>
      </c>
      <c r="N45" s="17">
        <f>(H45-F45)*100</f>
        <v/>
      </c>
      <c r="O45" s="18">
        <f>(N45-$D$11)/$E$11</f>
        <v/>
      </c>
      <c r="P45" s="17">
        <f>(H45-B45)*100</f>
        <v/>
      </c>
      <c r="Q45" s="18">
        <f>(P45-$D$12)/$E$12</f>
        <v/>
      </c>
      <c r="R45" s="17">
        <f>J45-J46</f>
        <v/>
      </c>
      <c r="S45" s="17">
        <f>L45-L46</f>
        <v/>
      </c>
      <c r="T45" s="17">
        <f>N45-N46</f>
        <v/>
      </c>
      <c r="U45" s="17">
        <f>P45-P46</f>
        <v/>
      </c>
    </row>
    <row r="46">
      <c r="A46" s="15" t="n">
        <v>46231</v>
      </c>
      <c r="B46" s="16" t="n">
        <v>4.26</v>
      </c>
      <c r="C46" s="17">
        <f>(B46-B47)*100</f>
        <v/>
      </c>
      <c r="D46" s="16" t="n">
        <v>4.31</v>
      </c>
      <c r="E46" s="17">
        <f>(D46-D47)*100</f>
        <v/>
      </c>
      <c r="F46" s="16" t="n">
        <v>4.61</v>
      </c>
      <c r="G46" s="17">
        <f>(F46-F47)*100</f>
        <v/>
      </c>
      <c r="H46" s="16" t="n">
        <v>5.09</v>
      </c>
      <c r="I46" s="17">
        <f>(H46-H47)*100</f>
        <v/>
      </c>
      <c r="J46" s="17">
        <f>(F46-B46)*100</f>
        <v/>
      </c>
      <c r="K46" s="18">
        <f>(J46-$D$9)/$E$9</f>
        <v/>
      </c>
      <c r="L46" s="17">
        <f>(F46-D46)*100</f>
        <v/>
      </c>
      <c r="M46" s="18">
        <f>(L46-$D$10)/$E$10</f>
        <v/>
      </c>
      <c r="N46" s="17">
        <f>(H46-F46)*100</f>
        <v/>
      </c>
      <c r="O46" s="18">
        <f>(N46-$D$11)/$E$11</f>
        <v/>
      </c>
      <c r="P46" s="17">
        <f>(H46-B46)*100</f>
        <v/>
      </c>
      <c r="Q46" s="18">
        <f>(P46-$D$12)/$E$12</f>
        <v/>
      </c>
      <c r="R46" s="17">
        <f>J46-J47</f>
        <v/>
      </c>
      <c r="S46" s="17">
        <f>L46-L47</f>
        <v/>
      </c>
      <c r="T46" s="17">
        <f>N46-N47</f>
        <v/>
      </c>
      <c r="U46" s="17">
        <f>P46-P47</f>
        <v/>
      </c>
    </row>
    <row r="47">
      <c r="A47" s="15" t="n">
        <v>46230</v>
      </c>
      <c r="B47" s="16" t="n">
        <v>4.31</v>
      </c>
      <c r="C47" s="17">
        <f>(B47-B48)*100</f>
        <v/>
      </c>
      <c r="D47" s="16" t="n">
        <v>4.35</v>
      </c>
      <c r="E47" s="17">
        <f>(D47-D48)*100</f>
        <v/>
      </c>
      <c r="F47" s="16" t="n">
        <v>4.65</v>
      </c>
      <c r="G47" s="17">
        <f>(F47-F48)*100</f>
        <v/>
      </c>
      <c r="H47" s="16" t="n">
        <v>5.12</v>
      </c>
      <c r="I47" s="17">
        <f>(H47-H48)*100</f>
        <v/>
      </c>
      <c r="J47" s="17">
        <f>(F47-B47)*100</f>
        <v/>
      </c>
      <c r="K47" s="18">
        <f>(J47-$D$9)/$E$9</f>
        <v/>
      </c>
      <c r="L47" s="17">
        <f>(F47-D47)*100</f>
        <v/>
      </c>
      <c r="M47" s="18">
        <f>(L47-$D$10)/$E$10</f>
        <v/>
      </c>
      <c r="N47" s="17">
        <f>(H47-F47)*100</f>
        <v/>
      </c>
      <c r="O47" s="18">
        <f>(N47-$D$11)/$E$11</f>
        <v/>
      </c>
      <c r="P47" s="17">
        <f>(H47-B47)*100</f>
        <v/>
      </c>
      <c r="Q47" s="18">
        <f>(P47-$D$12)/$E$12</f>
        <v/>
      </c>
      <c r="R47" s="17">
        <f>J47-J48</f>
        <v/>
      </c>
      <c r="S47" s="17">
        <f>L47-L48</f>
        <v/>
      </c>
      <c r="T47" s="17">
        <f>N47-N48</f>
        <v/>
      </c>
      <c r="U47" s="17">
        <f>P47-P48</f>
        <v/>
      </c>
    </row>
    <row r="48">
      <c r="A48" s="15" t="n">
        <v>46227</v>
      </c>
      <c r="B48" s="16" t="n">
        <v>4.33</v>
      </c>
      <c r="C48" s="17">
        <f>(B48-B49)*100</f>
        <v/>
      </c>
      <c r="D48" s="16" t="n">
        <v>4.36</v>
      </c>
      <c r="E48" s="17">
        <f>(D48-D49)*100</f>
        <v/>
      </c>
      <c r="F48" s="16" t="n">
        <v>4.69</v>
      </c>
      <c r="G48" s="17">
        <f>(F48-F49)*100</f>
        <v/>
      </c>
      <c r="H48" s="16" t="n">
        <v>5.16</v>
      </c>
      <c r="I48" s="17">
        <f>(H48-H49)*100</f>
        <v/>
      </c>
      <c r="J48" s="17">
        <f>(F48-B48)*100</f>
        <v/>
      </c>
      <c r="K48" s="18">
        <f>(J48-$D$9)/$E$9</f>
        <v/>
      </c>
      <c r="L48" s="17">
        <f>(F48-D48)*100</f>
        <v/>
      </c>
      <c r="M48" s="18">
        <f>(L48-$D$10)/$E$10</f>
        <v/>
      </c>
      <c r="N48" s="17">
        <f>(H48-F48)*100</f>
        <v/>
      </c>
      <c r="O48" s="18">
        <f>(N48-$D$11)/$E$11</f>
        <v/>
      </c>
      <c r="P48" s="17">
        <f>(H48-B48)*100</f>
        <v/>
      </c>
      <c r="Q48" s="18">
        <f>(P48-$D$12)/$E$12</f>
        <v/>
      </c>
      <c r="R48" s="17">
        <f>J48-J49</f>
        <v/>
      </c>
      <c r="S48" s="17">
        <f>L48-L49</f>
        <v/>
      </c>
      <c r="T48" s="17">
        <f>N48-N49</f>
        <v/>
      </c>
      <c r="U48" s="17">
        <f>P48-P49</f>
        <v/>
      </c>
    </row>
    <row r="49">
      <c r="A49" s="15" t="n">
        <v>46226</v>
      </c>
      <c r="B49" s="16" t="n">
        <v>4.37</v>
      </c>
      <c r="C49" s="17">
        <f>(B49-B50)*100</f>
        <v/>
      </c>
      <c r="D49" s="16" t="n">
        <v>4.4</v>
      </c>
      <c r="E49" s="17">
        <f>(D49-D50)*100</f>
        <v/>
      </c>
      <c r="F49" s="16" t="n">
        <v>4.71</v>
      </c>
      <c r="G49" s="17">
        <f>(F49-F50)*100</f>
        <v/>
      </c>
      <c r="H49" s="16" t="n">
        <v>5.17</v>
      </c>
      <c r="I49" s="17">
        <f>(H49-H50)*100</f>
        <v/>
      </c>
      <c r="J49" s="17">
        <f>(F49-B49)*100</f>
        <v/>
      </c>
      <c r="K49" s="18">
        <f>(J49-$D$9)/$E$9</f>
        <v/>
      </c>
      <c r="L49" s="17">
        <f>(F49-D49)*100</f>
        <v/>
      </c>
      <c r="M49" s="18">
        <f>(L49-$D$10)/$E$10</f>
        <v/>
      </c>
      <c r="N49" s="17">
        <f>(H49-F49)*100</f>
        <v/>
      </c>
      <c r="O49" s="18">
        <f>(N49-$D$11)/$E$11</f>
        <v/>
      </c>
      <c r="P49" s="17">
        <f>(H49-B49)*100</f>
        <v/>
      </c>
      <c r="Q49" s="18">
        <f>(P49-$D$12)/$E$12</f>
        <v/>
      </c>
      <c r="R49" s="17">
        <f>J49-J50</f>
        <v/>
      </c>
      <c r="S49" s="17">
        <f>L49-L50</f>
        <v/>
      </c>
      <c r="T49" s="17">
        <f>N49-N50</f>
        <v/>
      </c>
      <c r="U49" s="17">
        <f>P49-P50</f>
        <v/>
      </c>
    </row>
    <row r="50">
      <c r="A50" s="15" t="n">
        <v>46225</v>
      </c>
      <c r="B50" s="16" t="n">
        <v>4.31</v>
      </c>
      <c r="C50" s="17">
        <f>(B50-B51)*100</f>
        <v/>
      </c>
      <c r="D50" s="16" t="n">
        <v>4.34</v>
      </c>
      <c r="E50" s="17">
        <f>(D50-D51)*100</f>
        <v/>
      </c>
      <c r="F50" s="16" t="n">
        <v>4.67</v>
      </c>
      <c r="G50" s="17">
        <f>(F50-F51)*100</f>
        <v/>
      </c>
      <c r="H50" s="16" t="n">
        <v>5.15</v>
      </c>
      <c r="I50" s="17">
        <f>(H50-H51)*100</f>
        <v/>
      </c>
      <c r="J50" s="17">
        <f>(F50-B50)*100</f>
        <v/>
      </c>
      <c r="K50" s="18">
        <f>(J50-$D$9)/$E$9</f>
        <v/>
      </c>
      <c r="L50" s="17">
        <f>(F50-D50)*100</f>
        <v/>
      </c>
      <c r="M50" s="18">
        <f>(L50-$D$10)/$E$10</f>
        <v/>
      </c>
      <c r="N50" s="17">
        <f>(H50-F50)*100</f>
        <v/>
      </c>
      <c r="O50" s="18">
        <f>(N50-$D$11)/$E$11</f>
        <v/>
      </c>
      <c r="P50" s="17">
        <f>(H50-B50)*100</f>
        <v/>
      </c>
      <c r="Q50" s="18">
        <f>(P50-$D$12)/$E$12</f>
        <v/>
      </c>
      <c r="R50" s="17">
        <f>J50-J51</f>
        <v/>
      </c>
      <c r="S50" s="17">
        <f>L50-L51</f>
        <v/>
      </c>
      <c r="T50" s="17">
        <f>N50-N51</f>
        <v/>
      </c>
      <c r="U50" s="17">
        <f>P50-P51</f>
        <v/>
      </c>
    </row>
    <row r="51">
      <c r="A51" s="15" t="n">
        <v>46224</v>
      </c>
      <c r="B51" s="16" t="n">
        <v>4.26</v>
      </c>
      <c r="C51" s="17">
        <f>(B51-B52)*100</f>
        <v/>
      </c>
      <c r="D51" s="16" t="n">
        <v>4.31</v>
      </c>
      <c r="E51" s="17">
        <f>(D51-D52)*100</f>
        <v/>
      </c>
      <c r="F51" s="16" t="n">
        <v>4.63</v>
      </c>
      <c r="G51" s="17">
        <f>(F51-F52)*100</f>
        <v/>
      </c>
      <c r="H51" s="16" t="n">
        <v>5.13</v>
      </c>
      <c r="I51" s="17">
        <f>(H51-H52)*100</f>
        <v/>
      </c>
      <c r="J51" s="17">
        <f>(F51-B51)*100</f>
        <v/>
      </c>
      <c r="K51" s="18">
        <f>(J51-$D$9)/$E$9</f>
        <v/>
      </c>
      <c r="L51" s="17">
        <f>(F51-D51)*100</f>
        <v/>
      </c>
      <c r="M51" s="18">
        <f>(L51-$D$10)/$E$10</f>
        <v/>
      </c>
      <c r="N51" s="17">
        <f>(H51-F51)*100</f>
        <v/>
      </c>
      <c r="O51" s="18">
        <f>(N51-$D$11)/$E$11</f>
        <v/>
      </c>
      <c r="P51" s="17">
        <f>(H51-B51)*100</f>
        <v/>
      </c>
      <c r="Q51" s="18">
        <f>(P51-$D$12)/$E$12</f>
        <v/>
      </c>
      <c r="R51" s="17">
        <f>J51-J52</f>
        <v/>
      </c>
      <c r="S51" s="17">
        <f>L51-L52</f>
        <v/>
      </c>
      <c r="T51" s="17">
        <f>N51-N52</f>
        <v/>
      </c>
      <c r="U51" s="17">
        <f>P51-P52</f>
        <v/>
      </c>
    </row>
    <row r="52">
      <c r="A52" s="15" t="n">
        <v>46223</v>
      </c>
      <c r="B52" s="16" t="n">
        <v>4.21</v>
      </c>
      <c r="C52" s="17">
        <f>(B52-B53)*100</f>
        <v/>
      </c>
      <c r="D52" s="16" t="n">
        <v>4.25</v>
      </c>
      <c r="E52" s="17">
        <f>(D52-D53)*100</f>
        <v/>
      </c>
      <c r="F52" s="16" t="n">
        <v>4.6</v>
      </c>
      <c r="G52" s="17">
        <f>(F52-F53)*100</f>
        <v/>
      </c>
      <c r="H52" s="16" t="n">
        <v>5.11</v>
      </c>
      <c r="I52" s="17">
        <f>(H52-H53)*100</f>
        <v/>
      </c>
      <c r="J52" s="17">
        <f>(F52-B52)*100</f>
        <v/>
      </c>
      <c r="K52" s="18">
        <f>(J52-$D$9)/$E$9</f>
        <v/>
      </c>
      <c r="L52" s="17">
        <f>(F52-D52)*100</f>
        <v/>
      </c>
      <c r="M52" s="18">
        <f>(L52-$D$10)/$E$10</f>
        <v/>
      </c>
      <c r="N52" s="17">
        <f>(H52-F52)*100</f>
        <v/>
      </c>
      <c r="O52" s="18">
        <f>(N52-$D$11)/$E$11</f>
        <v/>
      </c>
      <c r="P52" s="17">
        <f>(H52-B52)*100</f>
        <v/>
      </c>
      <c r="Q52" s="18">
        <f>(P52-$D$12)/$E$12</f>
        <v/>
      </c>
      <c r="R52" s="17">
        <f>J52-J53</f>
        <v/>
      </c>
      <c r="S52" s="17">
        <f>L52-L53</f>
        <v/>
      </c>
      <c r="T52" s="17">
        <f>N52-N53</f>
        <v/>
      </c>
      <c r="U52" s="17">
        <f>P52-P53</f>
        <v/>
      </c>
    </row>
    <row r="53">
      <c r="A53" s="15" t="n">
        <v>46220</v>
      </c>
      <c r="B53" s="16" t="n">
        <v>4.18</v>
      </c>
      <c r="C53" s="17">
        <f>(B53-B54)*100</f>
        <v/>
      </c>
      <c r="D53" s="16" t="n">
        <v>4.21</v>
      </c>
      <c r="E53" s="17">
        <f>(D53-D54)*100</f>
        <v/>
      </c>
      <c r="F53" s="16" t="n">
        <v>4.55</v>
      </c>
      <c r="G53" s="17">
        <f>(F53-F54)*100</f>
        <v/>
      </c>
      <c r="H53" s="16" t="n">
        <v>5.06</v>
      </c>
      <c r="I53" s="17">
        <f>(H53-H54)*100</f>
        <v/>
      </c>
      <c r="J53" s="17">
        <f>(F53-B53)*100</f>
        <v/>
      </c>
      <c r="K53" s="18">
        <f>(J53-$D$9)/$E$9</f>
        <v/>
      </c>
      <c r="L53" s="17">
        <f>(F53-D53)*100</f>
        <v/>
      </c>
      <c r="M53" s="18">
        <f>(L53-$D$10)/$E$10</f>
        <v/>
      </c>
      <c r="N53" s="17">
        <f>(H53-F53)*100</f>
        <v/>
      </c>
      <c r="O53" s="18">
        <f>(N53-$D$11)/$E$11</f>
        <v/>
      </c>
      <c r="P53" s="17">
        <f>(H53-B53)*100</f>
        <v/>
      </c>
      <c r="Q53" s="18">
        <f>(P53-$D$12)/$E$12</f>
        <v/>
      </c>
      <c r="R53" s="17">
        <f>J53-J54</f>
        <v/>
      </c>
      <c r="S53" s="17">
        <f>L53-L54</f>
        <v/>
      </c>
      <c r="T53" s="17">
        <f>N53-N54</f>
        <v/>
      </c>
      <c r="U53" s="17">
        <f>P53-P54</f>
        <v/>
      </c>
    </row>
    <row r="54">
      <c r="A54" s="15" t="n">
        <v>46219</v>
      </c>
      <c r="B54" s="16" t="n">
        <v>4.16</v>
      </c>
      <c r="C54" s="17">
        <f>(B54-B55)*100</f>
        <v/>
      </c>
      <c r="D54" s="16" t="n">
        <v>4.2</v>
      </c>
      <c r="E54" s="17">
        <f>(D54-D55)*100</f>
        <v/>
      </c>
      <c r="F54" s="16" t="n">
        <v>4.57</v>
      </c>
      <c r="G54" s="17">
        <f>(F54-F55)*100</f>
        <v/>
      </c>
      <c r="H54" s="16" t="n">
        <v>5.09</v>
      </c>
      <c r="I54" s="17">
        <f>(H54-H55)*100</f>
        <v/>
      </c>
      <c r="J54" s="17">
        <f>(F54-B54)*100</f>
        <v/>
      </c>
      <c r="K54" s="18">
        <f>(J54-$D$9)/$E$9</f>
        <v/>
      </c>
      <c r="L54" s="17">
        <f>(F54-D54)*100</f>
        <v/>
      </c>
      <c r="M54" s="18">
        <f>(L54-$D$10)/$E$10</f>
        <v/>
      </c>
      <c r="N54" s="17">
        <f>(H54-F54)*100</f>
        <v/>
      </c>
      <c r="O54" s="18">
        <f>(N54-$D$11)/$E$11</f>
        <v/>
      </c>
      <c r="P54" s="17">
        <f>(H54-B54)*100</f>
        <v/>
      </c>
      <c r="Q54" s="18">
        <f>(P54-$D$12)/$E$12</f>
        <v/>
      </c>
      <c r="R54" s="17">
        <f>J54-J55</f>
        <v/>
      </c>
      <c r="S54" s="17">
        <f>L54-L55</f>
        <v/>
      </c>
      <c r="T54" s="17">
        <f>N54-N55</f>
        <v/>
      </c>
      <c r="U54" s="17">
        <f>P54-P55</f>
        <v/>
      </c>
    </row>
    <row r="55">
      <c r="A55" s="15" t="n">
        <v>46218</v>
      </c>
      <c r="B55" s="16" t="n">
        <v>4.13</v>
      </c>
      <c r="C55" s="17">
        <f>(B55-B56)*100</f>
        <v/>
      </c>
      <c r="D55" s="16" t="n">
        <v>4.18</v>
      </c>
      <c r="E55" s="17">
        <f>(D55-D56)*100</f>
        <v/>
      </c>
      <c r="F55" s="16" t="n">
        <v>4.55</v>
      </c>
      <c r="G55" s="17">
        <f>(F55-F56)*100</f>
        <v/>
      </c>
      <c r="H55" s="16" t="n">
        <v>5.08</v>
      </c>
      <c r="I55" s="17">
        <f>(H55-H56)*100</f>
        <v/>
      </c>
      <c r="J55" s="17">
        <f>(F55-B55)*100</f>
        <v/>
      </c>
      <c r="K55" s="18">
        <f>(J55-$D$9)/$E$9</f>
        <v/>
      </c>
      <c r="L55" s="17">
        <f>(F55-D55)*100</f>
        <v/>
      </c>
      <c r="M55" s="18">
        <f>(L55-$D$10)/$E$10</f>
        <v/>
      </c>
      <c r="N55" s="17">
        <f>(H55-F55)*100</f>
        <v/>
      </c>
      <c r="O55" s="18">
        <f>(N55-$D$11)/$E$11</f>
        <v/>
      </c>
      <c r="P55" s="17">
        <f>(H55-B55)*100</f>
        <v/>
      </c>
      <c r="Q55" s="18">
        <f>(P55-$D$12)/$E$12</f>
        <v/>
      </c>
      <c r="R55" s="17">
        <f>J55-J56</f>
        <v/>
      </c>
      <c r="S55" s="17">
        <f>L55-L56</f>
        <v/>
      </c>
      <c r="T55" s="17">
        <f>N55-N56</f>
        <v/>
      </c>
      <c r="U55" s="17">
        <f>P55-P56</f>
        <v/>
      </c>
    </row>
    <row r="56">
      <c r="A56" s="15" t="n">
        <v>46217</v>
      </c>
      <c r="B56" s="16" t="n">
        <v>4.18</v>
      </c>
      <c r="C56" s="17">
        <f>(B56-B57)*100</f>
        <v/>
      </c>
      <c r="D56" s="16" t="n">
        <v>4.23</v>
      </c>
      <c r="E56" s="17">
        <f>(D56-D57)*100</f>
        <v/>
      </c>
      <c r="F56" s="16" t="n">
        <v>4.58</v>
      </c>
      <c r="G56" s="17">
        <f>(F56-F57)*100</f>
        <v/>
      </c>
      <c r="H56" s="16" t="n">
        <v>5.08</v>
      </c>
      <c r="I56" s="17">
        <f>(H56-H57)*100</f>
        <v/>
      </c>
      <c r="J56" s="17">
        <f>(F56-B56)*100</f>
        <v/>
      </c>
      <c r="K56" s="18">
        <f>(J56-$D$9)/$E$9</f>
        <v/>
      </c>
      <c r="L56" s="17">
        <f>(F56-D56)*100</f>
        <v/>
      </c>
      <c r="M56" s="18">
        <f>(L56-$D$10)/$E$10</f>
        <v/>
      </c>
      <c r="N56" s="17">
        <f>(H56-F56)*100</f>
        <v/>
      </c>
      <c r="O56" s="18">
        <f>(N56-$D$11)/$E$11</f>
        <v/>
      </c>
      <c r="P56" s="17">
        <f>(H56-B56)*100</f>
        <v/>
      </c>
      <c r="Q56" s="18">
        <f>(P56-$D$12)/$E$12</f>
        <v/>
      </c>
      <c r="R56" s="17">
        <f>J56-J57</f>
        <v/>
      </c>
      <c r="S56" s="17">
        <f>L56-L57</f>
        <v/>
      </c>
      <c r="T56" s="17">
        <f>N56-N57</f>
        <v/>
      </c>
      <c r="U56" s="17">
        <f>P56-P57</f>
        <v/>
      </c>
    </row>
    <row r="57">
      <c r="A57" s="15" t="n">
        <v>46216</v>
      </c>
      <c r="B57" s="16" t="n">
        <v>4.26</v>
      </c>
      <c r="C57" s="17">
        <f>(B57-B58)*100</f>
        <v/>
      </c>
      <c r="D57" s="16" t="n">
        <v>4.3</v>
      </c>
      <c r="E57" s="17">
        <f>(D57-D58)*100</f>
        <v/>
      </c>
      <c r="F57" s="16" t="n">
        <v>4.62</v>
      </c>
      <c r="G57" s="17">
        <f>(F57-F58)*100</f>
        <v/>
      </c>
      <c r="H57" s="16" t="n">
        <v>5.1</v>
      </c>
      <c r="I57" s="17">
        <f>(H57-H58)*100</f>
        <v/>
      </c>
      <c r="J57" s="17">
        <f>(F57-B57)*100</f>
        <v/>
      </c>
      <c r="K57" s="18">
        <f>(J57-$D$9)/$E$9</f>
        <v/>
      </c>
      <c r="L57" s="17">
        <f>(F57-D57)*100</f>
        <v/>
      </c>
      <c r="M57" s="18">
        <f>(L57-$D$10)/$E$10</f>
        <v/>
      </c>
      <c r="N57" s="17">
        <f>(H57-F57)*100</f>
        <v/>
      </c>
      <c r="O57" s="18">
        <f>(N57-$D$11)/$E$11</f>
        <v/>
      </c>
      <c r="P57" s="17">
        <f>(H57-B57)*100</f>
        <v/>
      </c>
      <c r="Q57" s="18">
        <f>(P57-$D$12)/$E$12</f>
        <v/>
      </c>
      <c r="R57" s="17">
        <f>J57-J58</f>
        <v/>
      </c>
      <c r="S57" s="17">
        <f>L57-L58</f>
        <v/>
      </c>
      <c r="T57" s="17">
        <f>N57-N58</f>
        <v/>
      </c>
      <c r="U57" s="17">
        <f>P57-P58</f>
        <v/>
      </c>
    </row>
    <row r="58">
      <c r="A58" s="15" t="n">
        <v>46213</v>
      </c>
      <c r="B58" s="16" t="n">
        <v>4.21</v>
      </c>
      <c r="C58" s="17">
        <f>(B58-B59)*100</f>
        <v/>
      </c>
      <c r="D58" s="16" t="n">
        <v>4.22</v>
      </c>
      <c r="E58" s="17">
        <f>(D58-D59)*100</f>
        <v/>
      </c>
      <c r="F58" s="16" t="n">
        <v>4.56</v>
      </c>
      <c r="G58" s="17">
        <f>(F58-F59)*100</f>
        <v/>
      </c>
      <c r="H58" s="16" t="n">
        <v>5.06</v>
      </c>
      <c r="I58" s="17">
        <f>(H58-H59)*100</f>
        <v/>
      </c>
      <c r="J58" s="17">
        <f>(F58-B58)*100</f>
        <v/>
      </c>
      <c r="K58" s="18">
        <f>(J58-$D$9)/$E$9</f>
        <v/>
      </c>
      <c r="L58" s="17">
        <f>(F58-D58)*100</f>
        <v/>
      </c>
      <c r="M58" s="18">
        <f>(L58-$D$10)/$E$10</f>
        <v/>
      </c>
      <c r="N58" s="17">
        <f>(H58-F58)*100</f>
        <v/>
      </c>
      <c r="O58" s="18">
        <f>(N58-$D$11)/$E$11</f>
        <v/>
      </c>
      <c r="P58" s="17">
        <f>(H58-B58)*100</f>
        <v/>
      </c>
      <c r="Q58" s="18">
        <f>(P58-$D$12)/$E$12</f>
        <v/>
      </c>
      <c r="R58" s="17">
        <f>J58-J59</f>
        <v/>
      </c>
      <c r="S58" s="17">
        <f>L58-L59</f>
        <v/>
      </c>
      <c r="T58" s="17">
        <f>N58-N59</f>
        <v/>
      </c>
      <c r="U58" s="17">
        <f>P58-P59</f>
        <v/>
      </c>
    </row>
    <row r="59">
      <c r="A59" s="15" t="n">
        <v>46212</v>
      </c>
      <c r="B59" s="16" t="n">
        <v>4.16</v>
      </c>
      <c r="C59" s="17">
        <f>(B59-B60)*100</f>
        <v/>
      </c>
      <c r="D59" s="16" t="n">
        <v>4.18</v>
      </c>
      <c r="E59" s="17">
        <f>(D59-D60)*100</f>
        <v/>
      </c>
      <c r="F59" s="16" t="n">
        <v>4.54</v>
      </c>
      <c r="G59" s="17">
        <f>(F59-F60)*100</f>
        <v/>
      </c>
      <c r="H59" s="16" t="n">
        <v>5.05</v>
      </c>
      <c r="I59" s="17">
        <f>(H59-H60)*100</f>
        <v/>
      </c>
      <c r="J59" s="17">
        <f>(F59-B59)*100</f>
        <v/>
      </c>
      <c r="K59" s="18">
        <f>(J59-$D$9)/$E$9</f>
        <v/>
      </c>
      <c r="L59" s="17">
        <f>(F59-D59)*100</f>
        <v/>
      </c>
      <c r="M59" s="18">
        <f>(L59-$D$10)/$E$10</f>
        <v/>
      </c>
      <c r="N59" s="17">
        <f>(H59-F59)*100</f>
        <v/>
      </c>
      <c r="O59" s="18">
        <f>(N59-$D$11)/$E$11</f>
        <v/>
      </c>
      <c r="P59" s="17">
        <f>(H59-B59)*100</f>
        <v/>
      </c>
      <c r="Q59" s="18">
        <f>(P59-$D$12)/$E$12</f>
        <v/>
      </c>
      <c r="R59" s="17">
        <f>J59-J60</f>
        <v/>
      </c>
      <c r="S59" s="17">
        <f>L59-L60</f>
        <v/>
      </c>
      <c r="T59" s="17">
        <f>N59-N60</f>
        <v/>
      </c>
      <c r="U59" s="17">
        <f>P59-P60</f>
        <v/>
      </c>
    </row>
    <row r="60">
      <c r="A60" s="15" t="n">
        <v>46211</v>
      </c>
      <c r="B60" s="16" t="n">
        <v>4.21</v>
      </c>
      <c r="C60" s="17">
        <f>(B60-B61)*100</f>
        <v/>
      </c>
      <c r="D60" s="16" t="n">
        <v>4.21</v>
      </c>
      <c r="E60" s="17">
        <f>(D60-D61)*100</f>
        <v/>
      </c>
      <c r="F60" s="16" t="n">
        <v>4.56</v>
      </c>
      <c r="G60" s="17">
        <f>(F60-F61)*100</f>
        <v/>
      </c>
      <c r="H60" s="16" t="n">
        <v>5.06</v>
      </c>
      <c r="I60" s="17">
        <f>(H60-H61)*100</f>
        <v/>
      </c>
      <c r="J60" s="17">
        <f>(F60-B60)*100</f>
        <v/>
      </c>
      <c r="K60" s="18">
        <f>(J60-$D$9)/$E$9</f>
        <v/>
      </c>
      <c r="L60" s="17">
        <f>(F60-D60)*100</f>
        <v/>
      </c>
      <c r="M60" s="18">
        <f>(L60-$D$10)/$E$10</f>
        <v/>
      </c>
      <c r="N60" s="17">
        <f>(H60-F60)*100</f>
        <v/>
      </c>
      <c r="O60" s="18">
        <f>(N60-$D$11)/$E$11</f>
        <v/>
      </c>
      <c r="P60" s="17">
        <f>(H60-B60)*100</f>
        <v/>
      </c>
      <c r="Q60" s="18">
        <f>(P60-$D$12)/$E$12</f>
        <v/>
      </c>
      <c r="R60" s="17">
        <f>J60-J61</f>
        <v/>
      </c>
      <c r="S60" s="17">
        <f>L60-L61</f>
        <v/>
      </c>
      <c r="T60" s="17">
        <f>N60-N61</f>
        <v/>
      </c>
      <c r="U60" s="17">
        <f>P60-P61</f>
        <v/>
      </c>
    </row>
    <row r="61">
      <c r="A61" s="15" t="n">
        <v>46210</v>
      </c>
      <c r="B61" s="16" t="n">
        <v>4.19</v>
      </c>
      <c r="C61" s="17">
        <f>(B61-B62)*100</f>
        <v/>
      </c>
      <c r="D61" s="16" t="n">
        <v>4.18</v>
      </c>
      <c r="E61" s="17">
        <f>(D61-D62)*100</f>
        <v/>
      </c>
      <c r="F61" s="16" t="n">
        <v>4.55</v>
      </c>
      <c r="G61" s="17">
        <f>(F61-F62)*100</f>
        <v/>
      </c>
      <c r="H61" s="16" t="n">
        <v>5.05</v>
      </c>
      <c r="I61" s="17">
        <f>(H61-H62)*100</f>
        <v/>
      </c>
      <c r="J61" s="17">
        <f>(F61-B61)*100</f>
        <v/>
      </c>
      <c r="K61" s="18">
        <f>(J61-$D$9)/$E$9</f>
        <v/>
      </c>
      <c r="L61" s="17">
        <f>(F61-D61)*100</f>
        <v/>
      </c>
      <c r="M61" s="18">
        <f>(L61-$D$10)/$E$10</f>
        <v/>
      </c>
      <c r="N61" s="17">
        <f>(H61-F61)*100</f>
        <v/>
      </c>
      <c r="O61" s="18">
        <f>(N61-$D$11)/$E$11</f>
        <v/>
      </c>
      <c r="P61" s="17">
        <f>(H61-B61)*100</f>
        <v/>
      </c>
      <c r="Q61" s="18">
        <f>(P61-$D$12)/$E$12</f>
        <v/>
      </c>
      <c r="R61" s="17">
        <f>J61-J62</f>
        <v/>
      </c>
      <c r="S61" s="17">
        <f>L61-L62</f>
        <v/>
      </c>
      <c r="T61" s="17">
        <f>N61-N62</f>
        <v/>
      </c>
      <c r="U61" s="17">
        <f>P61-P62</f>
        <v/>
      </c>
    </row>
    <row r="62">
      <c r="A62" s="15" t="n">
        <v>46209</v>
      </c>
      <c r="B62" s="16" t="n">
        <v>4.13</v>
      </c>
      <c r="C62" s="17">
        <f>(B62-B63)*100</f>
        <v/>
      </c>
      <c r="D62" s="16" t="n">
        <v>4.14</v>
      </c>
      <c r="E62" s="17">
        <f>(D62-D63)*100</f>
        <v/>
      </c>
      <c r="F62" s="16" t="n">
        <v>4.48</v>
      </c>
      <c r="G62" s="17">
        <f>(F62-F63)*100</f>
        <v/>
      </c>
      <c r="H62" s="16" t="n">
        <v>4.99</v>
      </c>
      <c r="I62" s="17">
        <f>(H62-H63)*100</f>
        <v/>
      </c>
      <c r="J62" s="17">
        <f>(F62-B62)*100</f>
        <v/>
      </c>
      <c r="K62" s="18">
        <f>(J62-$D$9)/$E$9</f>
        <v/>
      </c>
      <c r="L62" s="17">
        <f>(F62-D62)*100</f>
        <v/>
      </c>
      <c r="M62" s="18">
        <f>(L62-$D$10)/$E$10</f>
        <v/>
      </c>
      <c r="N62" s="17">
        <f>(H62-F62)*100</f>
        <v/>
      </c>
      <c r="O62" s="18">
        <f>(N62-$D$11)/$E$11</f>
        <v/>
      </c>
      <c r="P62" s="17">
        <f>(H62-B62)*100</f>
        <v/>
      </c>
      <c r="Q62" s="18">
        <f>(P62-$D$12)/$E$12</f>
        <v/>
      </c>
      <c r="R62" s="17">
        <f>J62-J63</f>
        <v/>
      </c>
      <c r="S62" s="17">
        <f>L62-L63</f>
        <v/>
      </c>
      <c r="T62" s="17">
        <f>N62-N63</f>
        <v/>
      </c>
      <c r="U62" s="17">
        <f>P62-P63</f>
        <v/>
      </c>
    </row>
    <row r="63">
      <c r="A63" s="15" t="n">
        <v>46205</v>
      </c>
      <c r="B63" s="16" t="n">
        <v>4.14</v>
      </c>
      <c r="C63" s="17">
        <f>(B63-B64)*100</f>
        <v/>
      </c>
      <c r="D63" s="16" t="n">
        <v>4.16</v>
      </c>
      <c r="E63" s="17">
        <f>(D63-D64)*100</f>
        <v/>
      </c>
      <c r="F63" s="16" t="n">
        <v>4.49</v>
      </c>
      <c r="G63" s="17">
        <f>(F63-F64)*100</f>
        <v/>
      </c>
      <c r="H63" s="16" t="n">
        <v>4.98</v>
      </c>
      <c r="I63" s="17">
        <f>(H63-H64)*100</f>
        <v/>
      </c>
      <c r="J63" s="17">
        <f>(F63-B63)*100</f>
        <v/>
      </c>
      <c r="K63" s="18">
        <f>(J63-$D$9)/$E$9</f>
        <v/>
      </c>
      <c r="L63" s="17">
        <f>(F63-D63)*100</f>
        <v/>
      </c>
      <c r="M63" s="18">
        <f>(L63-$D$10)/$E$10</f>
        <v/>
      </c>
      <c r="N63" s="17">
        <f>(H63-F63)*100</f>
        <v/>
      </c>
      <c r="O63" s="18">
        <f>(N63-$D$11)/$E$11</f>
        <v/>
      </c>
      <c r="P63" s="17">
        <f>(H63-B63)*100</f>
        <v/>
      </c>
      <c r="Q63" s="18">
        <f>(P63-$D$12)/$E$12</f>
        <v/>
      </c>
      <c r="R63" s="17">
        <f>J63-J64</f>
        <v/>
      </c>
      <c r="S63" s="17">
        <f>L63-L64</f>
        <v/>
      </c>
      <c r="T63" s="17">
        <f>N63-N64</f>
        <v/>
      </c>
      <c r="U63" s="17">
        <f>P63-P64</f>
        <v/>
      </c>
    </row>
    <row r="64">
      <c r="A64" s="15" t="n">
        <v>46204</v>
      </c>
      <c r="B64" s="16" t="n">
        <v>4.17</v>
      </c>
      <c r="C64" s="17">
        <f>(B64-B65)*100</f>
        <v/>
      </c>
      <c r="D64" s="16" t="n">
        <v>4.19</v>
      </c>
      <c r="E64" s="17">
        <f>(D64-D65)*100</f>
        <v/>
      </c>
      <c r="F64" s="16" t="n">
        <v>4.48</v>
      </c>
      <c r="G64" s="17">
        <f>(F64-F65)*100</f>
        <v/>
      </c>
      <c r="H64" s="16" t="n">
        <v>4.97</v>
      </c>
      <c r="I64" s="17">
        <f>(H64-H65)*100</f>
        <v/>
      </c>
      <c r="J64" s="17">
        <f>(F64-B64)*100</f>
        <v/>
      </c>
      <c r="K64" s="18">
        <f>(J64-$D$9)/$E$9</f>
        <v/>
      </c>
      <c r="L64" s="17">
        <f>(F64-D64)*100</f>
        <v/>
      </c>
      <c r="M64" s="18">
        <f>(L64-$D$10)/$E$10</f>
        <v/>
      </c>
      <c r="N64" s="17">
        <f>(H64-F64)*100</f>
        <v/>
      </c>
      <c r="O64" s="18">
        <f>(N64-$D$11)/$E$11</f>
        <v/>
      </c>
      <c r="P64" s="17">
        <f>(H64-B64)*100</f>
        <v/>
      </c>
      <c r="Q64" s="18">
        <f>(P64-$D$12)/$E$12</f>
        <v/>
      </c>
      <c r="R64" s="17">
        <f>J64-J65</f>
        <v/>
      </c>
      <c r="S64" s="17">
        <f>L64-L65</f>
        <v/>
      </c>
      <c r="T64" s="17">
        <f>N64-N65</f>
        <v/>
      </c>
      <c r="U64" s="17">
        <f>P64-P65</f>
        <v/>
      </c>
    </row>
    <row r="65">
      <c r="A65" s="15" t="n">
        <v>46203</v>
      </c>
      <c r="B65" s="16" t="n">
        <v>4.14</v>
      </c>
      <c r="C65" s="17">
        <f>(B65-B66)*100</f>
        <v/>
      </c>
      <c r="D65" s="16" t="n">
        <v>4.15</v>
      </c>
      <c r="E65" s="17">
        <f>(D65-D66)*100</f>
        <v/>
      </c>
      <c r="F65" s="16" t="n">
        <v>4.44</v>
      </c>
      <c r="G65" s="17">
        <f>(F65-F66)*100</f>
        <v/>
      </c>
      <c r="H65" s="16" t="n">
        <v>4.91</v>
      </c>
      <c r="I65" s="17">
        <f>(H65-H66)*100</f>
        <v/>
      </c>
      <c r="J65" s="17">
        <f>(F65-B65)*100</f>
        <v/>
      </c>
      <c r="K65" s="18">
        <f>(J65-$D$9)/$E$9</f>
        <v/>
      </c>
      <c r="L65" s="17">
        <f>(F65-D65)*100</f>
        <v/>
      </c>
      <c r="M65" s="18">
        <f>(L65-$D$10)/$E$10</f>
        <v/>
      </c>
      <c r="N65" s="17">
        <f>(H65-F65)*100</f>
        <v/>
      </c>
      <c r="O65" s="18">
        <f>(N65-$D$11)/$E$11</f>
        <v/>
      </c>
      <c r="P65" s="17">
        <f>(H65-B65)*100</f>
        <v/>
      </c>
      <c r="Q65" s="18">
        <f>(P65-$D$12)/$E$12</f>
        <v/>
      </c>
      <c r="R65" s="17">
        <f>J65-J66</f>
        <v/>
      </c>
      <c r="S65" s="17">
        <f>L65-L66</f>
        <v/>
      </c>
      <c r="T65" s="17">
        <f>N65-N66</f>
        <v/>
      </c>
      <c r="U65" s="17">
        <f>P65-P66</f>
        <v/>
      </c>
    </row>
    <row r="66">
      <c r="A66" s="15" t="n">
        <v>46202</v>
      </c>
      <c r="B66" s="16" t="n">
        <v>4.1</v>
      </c>
      <c r="C66" s="17">
        <f>(B66-B67)*100</f>
        <v/>
      </c>
      <c r="D66" s="16" t="n">
        <v>4.1</v>
      </c>
      <c r="E66" s="17">
        <f>(D66-D67)*100</f>
        <v/>
      </c>
      <c r="F66" s="16" t="n">
        <v>4.38</v>
      </c>
      <c r="G66" s="17">
        <f>(F66-F67)*100</f>
        <v/>
      </c>
      <c r="H66" s="16" t="n">
        <v>4.86</v>
      </c>
      <c r="I66" s="17">
        <f>(H66-H67)*100</f>
        <v/>
      </c>
      <c r="J66" s="17">
        <f>(F66-B66)*100</f>
        <v/>
      </c>
      <c r="K66" s="18">
        <f>(J66-$D$9)/$E$9</f>
        <v/>
      </c>
      <c r="L66" s="17">
        <f>(F66-D66)*100</f>
        <v/>
      </c>
      <c r="M66" s="18">
        <f>(L66-$D$10)/$E$10</f>
        <v/>
      </c>
      <c r="N66" s="17">
        <f>(H66-F66)*100</f>
        <v/>
      </c>
      <c r="O66" s="18">
        <f>(N66-$D$11)/$E$11</f>
        <v/>
      </c>
      <c r="P66" s="17">
        <f>(H66-B66)*100</f>
        <v/>
      </c>
      <c r="Q66" s="18">
        <f>(P66-$D$12)/$E$12</f>
        <v/>
      </c>
      <c r="R66" s="17">
        <f>J66-J67</f>
        <v/>
      </c>
      <c r="S66" s="17">
        <f>L66-L67</f>
        <v/>
      </c>
      <c r="T66" s="17">
        <f>N66-N67</f>
        <v/>
      </c>
      <c r="U66" s="17">
        <f>P66-P67</f>
        <v/>
      </c>
    </row>
    <row r="67">
      <c r="A67" s="15" t="n">
        <v>46199</v>
      </c>
      <c r="B67" s="16" t="n">
        <v>4.07</v>
      </c>
      <c r="C67" s="17">
        <f>(B67-B68)*100</f>
        <v/>
      </c>
      <c r="D67" s="16" t="n">
        <v>4.09</v>
      </c>
      <c r="E67" s="17">
        <f>(D67-D68)*100</f>
        <v/>
      </c>
      <c r="F67" s="16" t="n">
        <v>4.38</v>
      </c>
      <c r="G67" s="17">
        <f>(F67-F68)*100</f>
        <v/>
      </c>
      <c r="H67" s="16" t="n">
        <v>4.87</v>
      </c>
      <c r="I67" s="17">
        <f>(H67-H68)*100</f>
        <v/>
      </c>
      <c r="J67" s="17">
        <f>(F67-B67)*100</f>
        <v/>
      </c>
      <c r="K67" s="18">
        <f>(J67-$D$9)/$E$9</f>
        <v/>
      </c>
      <c r="L67" s="17">
        <f>(F67-D67)*100</f>
        <v/>
      </c>
      <c r="M67" s="18">
        <f>(L67-$D$10)/$E$10</f>
        <v/>
      </c>
      <c r="N67" s="17">
        <f>(H67-F67)*100</f>
        <v/>
      </c>
      <c r="O67" s="18">
        <f>(N67-$D$11)/$E$11</f>
        <v/>
      </c>
      <c r="P67" s="17">
        <f>(H67-B67)*100</f>
        <v/>
      </c>
      <c r="Q67" s="18">
        <f>(P67-$D$12)/$E$12</f>
        <v/>
      </c>
      <c r="R67" s="17">
        <f>J67-J68</f>
        <v/>
      </c>
      <c r="S67" s="17">
        <f>L67-L68</f>
        <v/>
      </c>
      <c r="T67" s="17">
        <f>N67-N68</f>
        <v/>
      </c>
      <c r="U67" s="17">
        <f>P67-P68</f>
        <v/>
      </c>
    </row>
    <row r="68">
      <c r="A68" s="15" t="n">
        <v>46198</v>
      </c>
      <c r="B68" s="16" t="n">
        <v>4.09</v>
      </c>
      <c r="C68" s="17">
        <f>(B68-B69)*100</f>
        <v/>
      </c>
      <c r="D68" s="16" t="n">
        <v>4.13</v>
      </c>
      <c r="E68" s="17">
        <f>(D68-D69)*100</f>
        <v/>
      </c>
      <c r="F68" s="16" t="n">
        <v>4.4</v>
      </c>
      <c r="G68" s="17">
        <f>(F68-F69)*100</f>
        <v/>
      </c>
      <c r="H68" s="16" t="n">
        <v>4.86</v>
      </c>
      <c r="I68" s="17">
        <f>(H68-H69)*100</f>
        <v/>
      </c>
      <c r="J68" s="17">
        <f>(F68-B68)*100</f>
        <v/>
      </c>
      <c r="K68" s="18">
        <f>(J68-$D$9)/$E$9</f>
        <v/>
      </c>
      <c r="L68" s="17">
        <f>(F68-D68)*100</f>
        <v/>
      </c>
      <c r="M68" s="18">
        <f>(L68-$D$10)/$E$10</f>
        <v/>
      </c>
      <c r="N68" s="17">
        <f>(H68-F68)*100</f>
        <v/>
      </c>
      <c r="O68" s="18">
        <f>(N68-$D$11)/$E$11</f>
        <v/>
      </c>
      <c r="P68" s="17">
        <f>(H68-B68)*100</f>
        <v/>
      </c>
      <c r="Q68" s="18">
        <f>(P68-$D$12)/$E$12</f>
        <v/>
      </c>
      <c r="R68" s="17">
        <f>J68-J69</f>
        <v/>
      </c>
      <c r="S68" s="17">
        <f>L68-L69</f>
        <v/>
      </c>
      <c r="T68" s="17">
        <f>N68-N69</f>
        <v/>
      </c>
      <c r="U68" s="17">
        <f>P68-P69</f>
        <v/>
      </c>
    </row>
    <row r="69">
      <c r="A69" s="15" t="n">
        <v>46197</v>
      </c>
      <c r="B69" s="16" t="n">
        <v>4.11</v>
      </c>
      <c r="C69" s="17">
        <f>(B69-B70)*100</f>
        <v/>
      </c>
      <c r="D69" s="16" t="n">
        <v>4.15</v>
      </c>
      <c r="E69" s="17">
        <f>(D69-D70)*100</f>
        <v/>
      </c>
      <c r="F69" s="16" t="n">
        <v>4.41</v>
      </c>
      <c r="G69" s="17">
        <f>(F69-F70)*100</f>
        <v/>
      </c>
      <c r="H69" s="16" t="n">
        <v>4.86</v>
      </c>
      <c r="I69" s="17">
        <f>(H69-H70)*100</f>
        <v/>
      </c>
      <c r="J69" s="17">
        <f>(F69-B69)*100</f>
        <v/>
      </c>
      <c r="K69" s="18">
        <f>(J69-$D$9)/$E$9</f>
        <v/>
      </c>
      <c r="L69" s="17">
        <f>(F69-D69)*100</f>
        <v/>
      </c>
      <c r="M69" s="18">
        <f>(L69-$D$10)/$E$10</f>
        <v/>
      </c>
      <c r="N69" s="17">
        <f>(H69-F69)*100</f>
        <v/>
      </c>
      <c r="O69" s="18">
        <f>(N69-$D$11)/$E$11</f>
        <v/>
      </c>
      <c r="P69" s="17">
        <f>(H69-B69)*100</f>
        <v/>
      </c>
      <c r="Q69" s="18">
        <f>(P69-$D$12)/$E$12</f>
        <v/>
      </c>
      <c r="R69" s="17">
        <f>J69-J70</f>
        <v/>
      </c>
      <c r="S69" s="17">
        <f>L69-L70</f>
        <v/>
      </c>
      <c r="T69" s="17">
        <f>N69-N70</f>
        <v/>
      </c>
      <c r="U69" s="17">
        <f>P69-P70</f>
        <v/>
      </c>
    </row>
    <row r="70">
      <c r="A70" s="15" t="n">
        <v>46196</v>
      </c>
      <c r="B70" s="16" t="n">
        <v>4.16</v>
      </c>
      <c r="C70" s="17">
        <f>(B70-B71)*100</f>
        <v/>
      </c>
      <c r="D70" s="16" t="n">
        <v>4.22</v>
      </c>
      <c r="E70" s="17">
        <f>(D70-D71)*100</f>
        <v/>
      </c>
      <c r="F70" s="16" t="n">
        <v>4.5</v>
      </c>
      <c r="G70" s="17">
        <f>(F70-F71)*100</f>
        <v/>
      </c>
      <c r="H70" s="16" t="n">
        <v>4.94</v>
      </c>
      <c r="I70" s="17">
        <f>(H70-H71)*100</f>
        <v/>
      </c>
      <c r="J70" s="17">
        <f>(F70-B70)*100</f>
        <v/>
      </c>
      <c r="K70" s="18">
        <f>(J70-$D$9)/$E$9</f>
        <v/>
      </c>
      <c r="L70" s="17">
        <f>(F70-D70)*100</f>
        <v/>
      </c>
      <c r="M70" s="18">
        <f>(L70-$D$10)/$E$10</f>
        <v/>
      </c>
      <c r="N70" s="17">
        <f>(H70-F70)*100</f>
        <v/>
      </c>
      <c r="O70" s="18">
        <f>(N70-$D$11)/$E$11</f>
        <v/>
      </c>
      <c r="P70" s="17">
        <f>(H70-B70)*100</f>
        <v/>
      </c>
      <c r="Q70" s="18">
        <f>(P70-$D$12)/$E$12</f>
        <v/>
      </c>
      <c r="R70" s="17">
        <f>J70-J71</f>
        <v/>
      </c>
      <c r="S70" s="17">
        <f>L70-L71</f>
        <v/>
      </c>
      <c r="T70" s="17">
        <f>N70-N71</f>
        <v/>
      </c>
      <c r="U70" s="17">
        <f>P70-P71</f>
        <v/>
      </c>
    </row>
    <row r="71">
      <c r="A71" s="15" t="n">
        <v>46195</v>
      </c>
      <c r="B71" s="16" t="n">
        <v>4.24</v>
      </c>
      <c r="C71" s="17">
        <f>(B71-B72)*100</f>
        <v/>
      </c>
      <c r="D71" s="16" t="n">
        <v>4.25</v>
      </c>
      <c r="E71" s="17">
        <f>(D71-D72)*100</f>
        <v/>
      </c>
      <c r="F71" s="16" t="n">
        <v>4.51</v>
      </c>
      <c r="G71" s="17">
        <f>(F71-F72)*100</f>
        <v/>
      </c>
      <c r="H71" s="16" t="n">
        <v>4.95</v>
      </c>
      <c r="I71" s="17">
        <f>(H71-H72)*100</f>
        <v/>
      </c>
      <c r="J71" s="17">
        <f>(F71-B71)*100</f>
        <v/>
      </c>
      <c r="K71" s="18">
        <f>(J71-$D$9)/$E$9</f>
        <v/>
      </c>
      <c r="L71" s="17">
        <f>(F71-D71)*100</f>
        <v/>
      </c>
      <c r="M71" s="18">
        <f>(L71-$D$10)/$E$10</f>
        <v/>
      </c>
      <c r="N71" s="17">
        <f>(H71-F71)*100</f>
        <v/>
      </c>
      <c r="O71" s="18">
        <f>(N71-$D$11)/$E$11</f>
        <v/>
      </c>
      <c r="P71" s="17">
        <f>(H71-B71)*100</f>
        <v/>
      </c>
      <c r="Q71" s="18">
        <f>(P71-$D$12)/$E$12</f>
        <v/>
      </c>
      <c r="R71" s="17">
        <f>J71-J72</f>
        <v/>
      </c>
      <c r="S71" s="17">
        <f>L71-L72</f>
        <v/>
      </c>
      <c r="T71" s="17">
        <f>N71-N72</f>
        <v/>
      </c>
      <c r="U71" s="17">
        <f>P71-P72</f>
        <v/>
      </c>
    </row>
    <row r="72">
      <c r="A72" s="15" t="n">
        <v>46191</v>
      </c>
      <c r="B72" s="16" t="n">
        <v>4.19</v>
      </c>
      <c r="C72" s="17">
        <f>(B72-B73)*100</f>
        <v/>
      </c>
      <c r="D72" s="16" t="n">
        <v>4.19</v>
      </c>
      <c r="E72" s="17">
        <f>(D72-D73)*100</f>
        <v/>
      </c>
      <c r="F72" s="16" t="n">
        <v>4.46</v>
      </c>
      <c r="G72" s="17">
        <f>(F72-F73)*100</f>
        <v/>
      </c>
      <c r="H72" s="16" t="n">
        <v>4.9</v>
      </c>
      <c r="I72" s="17">
        <f>(H72-H73)*100</f>
        <v/>
      </c>
      <c r="J72" s="17">
        <f>(F72-B72)*100</f>
        <v/>
      </c>
      <c r="K72" s="18">
        <f>(J72-$D$9)/$E$9</f>
        <v/>
      </c>
      <c r="L72" s="17">
        <f>(F72-D72)*100</f>
        <v/>
      </c>
      <c r="M72" s="18">
        <f>(L72-$D$10)/$E$10</f>
        <v/>
      </c>
      <c r="N72" s="17">
        <f>(H72-F72)*100</f>
        <v/>
      </c>
      <c r="O72" s="18">
        <f>(N72-$D$11)/$E$11</f>
        <v/>
      </c>
      <c r="P72" s="17">
        <f>(H72-B72)*100</f>
        <v/>
      </c>
      <c r="Q72" s="18">
        <f>(P72-$D$12)/$E$12</f>
        <v/>
      </c>
      <c r="R72" s="17">
        <f>J72-J73</f>
        <v/>
      </c>
      <c r="S72" s="17">
        <f>L72-L73</f>
        <v/>
      </c>
      <c r="T72" s="17">
        <f>N72-N73</f>
        <v/>
      </c>
      <c r="U72" s="17">
        <f>P72-P73</f>
        <v/>
      </c>
    </row>
    <row r="73">
      <c r="A73" s="15" t="n">
        <v>46190</v>
      </c>
      <c r="B73" s="16" t="n">
        <v>4.2</v>
      </c>
      <c r="C73" s="17">
        <f>(B73-B74)*100</f>
        <v/>
      </c>
      <c r="D73" s="16" t="n">
        <v>4.23</v>
      </c>
      <c r="E73" s="17">
        <f>(D73-D74)*100</f>
        <v/>
      </c>
      <c r="F73" s="16" t="n">
        <v>4.49</v>
      </c>
      <c r="G73" s="17">
        <f>(F73-F74)*100</f>
        <v/>
      </c>
      <c r="H73" s="16" t="n">
        <v>4.93</v>
      </c>
      <c r="I73" s="17">
        <f>(H73-H74)*100</f>
        <v/>
      </c>
      <c r="J73" s="17">
        <f>(F73-B73)*100</f>
        <v/>
      </c>
      <c r="K73" s="18">
        <f>(J73-$D$9)/$E$9</f>
        <v/>
      </c>
      <c r="L73" s="17">
        <f>(F73-D73)*100</f>
        <v/>
      </c>
      <c r="M73" s="18">
        <f>(L73-$D$10)/$E$10</f>
        <v/>
      </c>
      <c r="N73" s="17">
        <f>(H73-F73)*100</f>
        <v/>
      </c>
      <c r="O73" s="18">
        <f>(N73-$D$11)/$E$11</f>
        <v/>
      </c>
      <c r="P73" s="17">
        <f>(H73-B73)*100</f>
        <v/>
      </c>
      <c r="Q73" s="18">
        <f>(P73-$D$12)/$E$12</f>
        <v/>
      </c>
      <c r="R73" s="17">
        <f>J73-J74</f>
        <v/>
      </c>
      <c r="S73" s="17">
        <f>L73-L74</f>
        <v/>
      </c>
      <c r="T73" s="17">
        <f>N73-N74</f>
        <v/>
      </c>
      <c r="U73" s="17">
        <f>P73-P74</f>
        <v/>
      </c>
    </row>
    <row r="74">
      <c r="A74" s="15" t="n">
        <v>46189</v>
      </c>
      <c r="B74" s="16" t="n">
        <v>4.05</v>
      </c>
      <c r="C74" s="17">
        <f>(B74-B75)*100</f>
        <v/>
      </c>
      <c r="D74" s="16" t="n">
        <v>4.08</v>
      </c>
      <c r="E74" s="17">
        <f>(D74-D75)*100</f>
        <v/>
      </c>
      <c r="F74" s="16" t="n">
        <v>4.43</v>
      </c>
      <c r="G74" s="17">
        <f>(F74-F75)*100</f>
        <v/>
      </c>
      <c r="H74" s="16" t="n">
        <v>4.93</v>
      </c>
      <c r="I74" s="17">
        <f>(H74-H75)*100</f>
        <v/>
      </c>
      <c r="J74" s="17">
        <f>(F74-B74)*100</f>
        <v/>
      </c>
      <c r="K74" s="18">
        <f>(J74-$D$9)/$E$9</f>
        <v/>
      </c>
      <c r="L74" s="17">
        <f>(F74-D74)*100</f>
        <v/>
      </c>
      <c r="M74" s="18">
        <f>(L74-$D$10)/$E$10</f>
        <v/>
      </c>
      <c r="N74" s="17">
        <f>(H74-F74)*100</f>
        <v/>
      </c>
      <c r="O74" s="18">
        <f>(N74-$D$11)/$E$11</f>
        <v/>
      </c>
      <c r="P74" s="17">
        <f>(H74-B74)*100</f>
        <v/>
      </c>
      <c r="Q74" s="18">
        <f>(P74-$D$12)/$E$12</f>
        <v/>
      </c>
      <c r="R74" s="17">
        <f>J74-J75</f>
        <v/>
      </c>
      <c r="S74" s="17">
        <f>L74-L75</f>
        <v/>
      </c>
      <c r="T74" s="17">
        <f>N74-N75</f>
        <v/>
      </c>
      <c r="U74" s="17">
        <f>P74-P75</f>
        <v/>
      </c>
    </row>
    <row r="75">
      <c r="A75" s="15" t="n">
        <v>46188</v>
      </c>
      <c r="B75" s="16" t="n">
        <v>4.07</v>
      </c>
      <c r="C75" s="17">
        <f>(B75-B76)*100</f>
        <v/>
      </c>
      <c r="D75" s="16" t="n">
        <v>4.1</v>
      </c>
      <c r="E75" s="17">
        <f>(D75-D76)*100</f>
        <v/>
      </c>
      <c r="F75" s="16" t="n">
        <v>4.47</v>
      </c>
      <c r="G75" s="17">
        <f>(F75-F76)*100</f>
        <v/>
      </c>
      <c r="H75" s="16" t="n">
        <v>4.97</v>
      </c>
      <c r="I75" s="17">
        <f>(H75-H76)*100</f>
        <v/>
      </c>
      <c r="J75" s="17">
        <f>(F75-B75)*100</f>
        <v/>
      </c>
      <c r="K75" s="18">
        <f>(J75-$D$9)/$E$9</f>
        <v/>
      </c>
      <c r="L75" s="17">
        <f>(F75-D75)*100</f>
        <v/>
      </c>
      <c r="M75" s="18">
        <f>(L75-$D$10)/$E$10</f>
        <v/>
      </c>
      <c r="N75" s="17">
        <f>(H75-F75)*100</f>
        <v/>
      </c>
      <c r="O75" s="18">
        <f>(N75-$D$11)/$E$11</f>
        <v/>
      </c>
      <c r="P75" s="17">
        <f>(H75-B75)*100</f>
        <v/>
      </c>
      <c r="Q75" s="18">
        <f>(P75-$D$12)/$E$12</f>
        <v/>
      </c>
      <c r="R75" s="17">
        <f>J75-J76</f>
        <v/>
      </c>
      <c r="S75" s="17">
        <f>L75-L76</f>
        <v/>
      </c>
      <c r="T75" s="17">
        <f>N75-N76</f>
        <v/>
      </c>
      <c r="U75" s="17">
        <f>P75-P76</f>
        <v/>
      </c>
    </row>
    <row r="76">
      <c r="A76" s="15" t="n">
        <v>46185</v>
      </c>
      <c r="B76" s="16" t="n">
        <v>4.09</v>
      </c>
      <c r="C76" s="17">
        <f>(B76-B77)*100</f>
        <v/>
      </c>
      <c r="D76" s="16" t="n">
        <v>4.12</v>
      </c>
      <c r="E76" s="17">
        <f>(D76-D77)*100</f>
        <v/>
      </c>
      <c r="F76" s="16" t="n">
        <v>4.48</v>
      </c>
      <c r="G76" s="17">
        <f>(F76-F77)*100</f>
        <v/>
      </c>
      <c r="H76" s="16" t="n">
        <v>4.97</v>
      </c>
      <c r="I76" s="17">
        <f>(H76-H77)*100</f>
        <v/>
      </c>
      <c r="J76" s="17">
        <f>(F76-B76)*100</f>
        <v/>
      </c>
      <c r="K76" s="18">
        <f>(J76-$D$9)/$E$9</f>
        <v/>
      </c>
      <c r="L76" s="17">
        <f>(F76-D76)*100</f>
        <v/>
      </c>
      <c r="M76" s="18">
        <f>(L76-$D$10)/$E$10</f>
        <v/>
      </c>
      <c r="N76" s="17">
        <f>(H76-F76)*100</f>
        <v/>
      </c>
      <c r="O76" s="18">
        <f>(N76-$D$11)/$E$11</f>
        <v/>
      </c>
      <c r="P76" s="17">
        <f>(H76-B76)*100</f>
        <v/>
      </c>
      <c r="Q76" s="18">
        <f>(P76-$D$12)/$E$12</f>
        <v/>
      </c>
      <c r="R76" s="17">
        <f>J76-J77</f>
        <v/>
      </c>
      <c r="S76" s="17">
        <f>L76-L77</f>
        <v/>
      </c>
      <c r="T76" s="17">
        <f>N76-N77</f>
        <v/>
      </c>
      <c r="U76" s="17">
        <f>P76-P77</f>
        <v/>
      </c>
    </row>
    <row r="77">
      <c r="A77" s="15" t="n">
        <v>46184</v>
      </c>
      <c r="B77" s="16" t="n">
        <v>4.05</v>
      </c>
      <c r="C77" s="17">
        <f>(B77-B78)*100</f>
        <v/>
      </c>
      <c r="D77" s="16" t="n">
        <v>4.09</v>
      </c>
      <c r="E77" s="17">
        <f>(D77-D78)*100</f>
        <v/>
      </c>
      <c r="F77" s="16" t="n">
        <v>4.45</v>
      </c>
      <c r="G77" s="17">
        <f>(F77-F78)*100</f>
        <v/>
      </c>
      <c r="H77" s="16" t="n">
        <v>4.95</v>
      </c>
      <c r="I77" s="17">
        <f>(H77-H78)*100</f>
        <v/>
      </c>
      <c r="J77" s="17">
        <f>(F77-B77)*100</f>
        <v/>
      </c>
      <c r="K77" s="18">
        <f>(J77-$D$9)/$E$9</f>
        <v/>
      </c>
      <c r="L77" s="17">
        <f>(F77-D77)*100</f>
        <v/>
      </c>
      <c r="M77" s="18">
        <f>(L77-$D$10)/$E$10</f>
        <v/>
      </c>
      <c r="N77" s="17">
        <f>(H77-F77)*100</f>
        <v/>
      </c>
      <c r="O77" s="18">
        <f>(N77-$D$11)/$E$11</f>
        <v/>
      </c>
      <c r="P77" s="17">
        <f>(H77-B77)*100</f>
        <v/>
      </c>
      <c r="Q77" s="18">
        <f>(P77-$D$12)/$E$12</f>
        <v/>
      </c>
      <c r="R77" s="17">
        <f>J77-J78</f>
        <v/>
      </c>
      <c r="S77" s="17">
        <f>L77-L78</f>
        <v/>
      </c>
      <c r="T77" s="17">
        <f>N77-N78</f>
        <v/>
      </c>
      <c r="U77" s="17">
        <f>P77-P78</f>
        <v/>
      </c>
    </row>
    <row r="78">
      <c r="A78" s="15" t="n">
        <v>46183</v>
      </c>
      <c r="B78" s="16" t="n">
        <v>4.13</v>
      </c>
      <c r="C78" s="17">
        <f>(B78-B79)*100</f>
        <v/>
      </c>
      <c r="D78" s="16" t="n">
        <v>4.17</v>
      </c>
      <c r="E78" s="17">
        <f>(D78-D79)*100</f>
        <v/>
      </c>
      <c r="F78" s="16" t="n">
        <v>4.55</v>
      </c>
      <c r="G78" s="17">
        <f>(F78-F79)*100</f>
        <v/>
      </c>
      <c r="H78" s="16" t="n">
        <v>5.03</v>
      </c>
      <c r="I78" s="17">
        <f>(H78-H79)*100</f>
        <v/>
      </c>
      <c r="J78" s="17">
        <f>(F78-B78)*100</f>
        <v/>
      </c>
      <c r="K78" s="18">
        <f>(J78-$D$9)/$E$9</f>
        <v/>
      </c>
      <c r="L78" s="17">
        <f>(F78-D78)*100</f>
        <v/>
      </c>
      <c r="M78" s="18">
        <f>(L78-$D$10)/$E$10</f>
        <v/>
      </c>
      <c r="N78" s="17">
        <f>(H78-F78)*100</f>
        <v/>
      </c>
      <c r="O78" s="18">
        <f>(N78-$D$11)/$E$11</f>
        <v/>
      </c>
      <c r="P78" s="17">
        <f>(H78-B78)*100</f>
        <v/>
      </c>
      <c r="Q78" s="18">
        <f>(P78-$D$12)/$E$12</f>
        <v/>
      </c>
      <c r="R78" s="17">
        <f>J78-J79</f>
        <v/>
      </c>
      <c r="S78" s="17">
        <f>L78-L79</f>
        <v/>
      </c>
      <c r="T78" s="17">
        <f>N78-N79</f>
        <v/>
      </c>
      <c r="U78" s="17">
        <f>P78-P79</f>
        <v/>
      </c>
    </row>
    <row r="79">
      <c r="A79" s="15" t="n">
        <v>46182</v>
      </c>
      <c r="B79" s="16" t="n">
        <v>4.13</v>
      </c>
      <c r="C79" s="17">
        <f>(B79-B80)*100</f>
        <v/>
      </c>
      <c r="D79" s="16" t="n">
        <v>4.16</v>
      </c>
      <c r="E79" s="17">
        <f>(D79-D80)*100</f>
        <v/>
      </c>
      <c r="F79" s="16" t="n">
        <v>4.53</v>
      </c>
      <c r="G79" s="17">
        <f>(F79-F80)*100</f>
        <v/>
      </c>
      <c r="H79" s="16" t="n">
        <v>5.01</v>
      </c>
      <c r="I79" s="17">
        <f>(H79-H80)*100</f>
        <v/>
      </c>
      <c r="J79" s="17">
        <f>(F79-B79)*100</f>
        <v/>
      </c>
      <c r="K79" s="18">
        <f>(J79-$D$9)/$E$9</f>
        <v/>
      </c>
      <c r="L79" s="17">
        <f>(F79-D79)*100</f>
        <v/>
      </c>
      <c r="M79" s="18">
        <f>(L79-$D$10)/$E$10</f>
        <v/>
      </c>
      <c r="N79" s="17">
        <f>(H79-F79)*100</f>
        <v/>
      </c>
      <c r="O79" s="18">
        <f>(N79-$D$11)/$E$11</f>
        <v/>
      </c>
      <c r="P79" s="17">
        <f>(H79-B79)*100</f>
        <v/>
      </c>
      <c r="Q79" s="18">
        <f>(P79-$D$12)/$E$12</f>
        <v/>
      </c>
      <c r="R79" s="17">
        <f>J79-J80</f>
        <v/>
      </c>
      <c r="S79" s="17">
        <f>L79-L80</f>
        <v/>
      </c>
      <c r="T79" s="17">
        <f>N79-N80</f>
        <v/>
      </c>
      <c r="U79" s="17">
        <f>P79-P80</f>
        <v/>
      </c>
    </row>
    <row r="80">
      <c r="A80" s="15" t="n">
        <v>46181</v>
      </c>
      <c r="B80" s="16" t="n">
        <v>4.15</v>
      </c>
      <c r="C80" s="17">
        <f>(B80-B81)*100</f>
        <v/>
      </c>
      <c r="D80" s="16" t="n">
        <v>4.21</v>
      </c>
      <c r="E80" s="17">
        <f>(D80-D81)*100</f>
        <v/>
      </c>
      <c r="F80" s="16" t="n">
        <v>4.56</v>
      </c>
      <c r="G80" s="17">
        <f>(F80-F81)*100</f>
        <v/>
      </c>
      <c r="H80" s="16" t="n">
        <v>5.03</v>
      </c>
      <c r="I80" s="17">
        <f>(H80-H81)*100</f>
        <v/>
      </c>
      <c r="J80" s="17">
        <f>(F80-B80)*100</f>
        <v/>
      </c>
      <c r="K80" s="18">
        <f>(J80-$D$9)/$E$9</f>
        <v/>
      </c>
      <c r="L80" s="17">
        <f>(F80-D80)*100</f>
        <v/>
      </c>
      <c r="M80" s="18">
        <f>(L80-$D$10)/$E$10</f>
        <v/>
      </c>
      <c r="N80" s="17">
        <f>(H80-F80)*100</f>
        <v/>
      </c>
      <c r="O80" s="18">
        <f>(N80-$D$11)/$E$11</f>
        <v/>
      </c>
      <c r="P80" s="17">
        <f>(H80-B80)*100</f>
        <v/>
      </c>
      <c r="Q80" s="18">
        <f>(P80-$D$12)/$E$12</f>
        <v/>
      </c>
      <c r="R80" s="17">
        <f>J80-J81</f>
        <v/>
      </c>
      <c r="S80" s="17">
        <f>L80-L81</f>
        <v/>
      </c>
      <c r="T80" s="17">
        <f>N80-N81</f>
        <v/>
      </c>
      <c r="U80" s="17">
        <f>P80-P81</f>
        <v/>
      </c>
    </row>
    <row r="81">
      <c r="A81" s="15" t="n">
        <v>46178</v>
      </c>
      <c r="B81" s="16" t="n">
        <v>4.17</v>
      </c>
      <c r="C81" s="17">
        <f>(B81-B82)*100</f>
        <v/>
      </c>
      <c r="D81" s="16" t="n">
        <v>4.22</v>
      </c>
      <c r="E81" s="17">
        <f>(D81-D82)*100</f>
        <v/>
      </c>
      <c r="F81" s="16" t="n">
        <v>4.55</v>
      </c>
      <c r="G81" s="17">
        <f>(F81-F82)*100</f>
        <v/>
      </c>
      <c r="H81" s="16" t="n">
        <v>5.01</v>
      </c>
      <c r="I81" s="17">
        <f>(H81-H82)*100</f>
        <v/>
      </c>
      <c r="J81" s="17">
        <f>(F81-B81)*100</f>
        <v/>
      </c>
      <c r="K81" s="18">
        <f>(J81-$D$9)/$E$9</f>
        <v/>
      </c>
      <c r="L81" s="17">
        <f>(F81-D81)*100</f>
        <v/>
      </c>
      <c r="M81" s="18">
        <f>(L81-$D$10)/$E$10</f>
        <v/>
      </c>
      <c r="N81" s="17">
        <f>(H81-F81)*100</f>
        <v/>
      </c>
      <c r="O81" s="18">
        <f>(N81-$D$11)/$E$11</f>
        <v/>
      </c>
      <c r="P81" s="17">
        <f>(H81-B81)*100</f>
        <v/>
      </c>
      <c r="Q81" s="18">
        <f>(P81-$D$12)/$E$12</f>
        <v/>
      </c>
      <c r="R81" s="17">
        <f>J81-J82</f>
        <v/>
      </c>
      <c r="S81" s="17">
        <f>L81-L82</f>
        <v/>
      </c>
      <c r="T81" s="17">
        <f>N81-N82</f>
        <v/>
      </c>
      <c r="U81" s="17">
        <f>P81-P82</f>
        <v/>
      </c>
    </row>
    <row r="82">
      <c r="A82" s="15" t="n">
        <v>46177</v>
      </c>
      <c r="B82" s="16" t="n">
        <v>4.05</v>
      </c>
      <c r="C82" s="17">
        <f>(B82-B83)*100</f>
        <v/>
      </c>
      <c r="D82" s="16" t="n">
        <v>4.1</v>
      </c>
      <c r="E82" s="17">
        <f>(D82-D83)*100</f>
        <v/>
      </c>
      <c r="F82" s="16" t="n">
        <v>4.47</v>
      </c>
      <c r="G82" s="17">
        <f>(F82-F83)*100</f>
        <v/>
      </c>
      <c r="H82" s="16" t="n">
        <v>4.97</v>
      </c>
      <c r="I82" s="17">
        <f>(H82-H83)*100</f>
        <v/>
      </c>
      <c r="J82" s="17">
        <f>(F82-B82)*100</f>
        <v/>
      </c>
      <c r="K82" s="18">
        <f>(J82-$D$9)/$E$9</f>
        <v/>
      </c>
      <c r="L82" s="17">
        <f>(F82-D82)*100</f>
        <v/>
      </c>
      <c r="M82" s="18">
        <f>(L82-$D$10)/$E$10</f>
        <v/>
      </c>
      <c r="N82" s="17">
        <f>(H82-F82)*100</f>
        <v/>
      </c>
      <c r="O82" s="18">
        <f>(N82-$D$11)/$E$11</f>
        <v/>
      </c>
      <c r="P82" s="17">
        <f>(H82-B82)*100</f>
        <v/>
      </c>
      <c r="Q82" s="18">
        <f>(P82-$D$12)/$E$12</f>
        <v/>
      </c>
      <c r="R82" s="17">
        <f>J82-J83</f>
        <v/>
      </c>
      <c r="S82" s="17">
        <f>L82-L83</f>
        <v/>
      </c>
      <c r="T82" s="17">
        <f>N82-N83</f>
        <v/>
      </c>
      <c r="U82" s="17">
        <f>P82-P83</f>
        <v/>
      </c>
    </row>
    <row r="83">
      <c r="A83" s="15" t="n">
        <v>46176</v>
      </c>
      <c r="B83" s="16" t="n">
        <v>4.08</v>
      </c>
      <c r="C83" s="17">
        <f>(B83-B84)*100</f>
        <v/>
      </c>
      <c r="D83" s="16" t="n">
        <v>4.14</v>
      </c>
      <c r="E83" s="17">
        <f>(D83-D84)*100</f>
        <v/>
      </c>
      <c r="F83" s="16" t="n">
        <v>4.49</v>
      </c>
      <c r="G83" s="17">
        <f>(F83-F84)*100</f>
        <v/>
      </c>
      <c r="H83" s="16" t="n">
        <v>4.99</v>
      </c>
      <c r="I83" s="17">
        <f>(H83-H84)*100</f>
        <v/>
      </c>
      <c r="J83" s="17">
        <f>(F83-B83)*100</f>
        <v/>
      </c>
      <c r="K83" s="18">
        <f>(J83-$D$9)/$E$9</f>
        <v/>
      </c>
      <c r="L83" s="17">
        <f>(F83-D83)*100</f>
        <v/>
      </c>
      <c r="M83" s="18">
        <f>(L83-$D$10)/$E$10</f>
        <v/>
      </c>
      <c r="N83" s="17">
        <f>(H83-F83)*100</f>
        <v/>
      </c>
      <c r="O83" s="18">
        <f>(N83-$D$11)/$E$11</f>
        <v/>
      </c>
      <c r="P83" s="17">
        <f>(H83-B83)*100</f>
        <v/>
      </c>
      <c r="Q83" s="18">
        <f>(P83-$D$12)/$E$12</f>
        <v/>
      </c>
      <c r="R83" s="17">
        <f>J83-J84</f>
        <v/>
      </c>
      <c r="S83" s="17">
        <f>L83-L84</f>
        <v/>
      </c>
      <c r="T83" s="17">
        <f>N83-N84</f>
        <v/>
      </c>
      <c r="U83" s="17">
        <f>P83-P84</f>
        <v/>
      </c>
    </row>
    <row r="84">
      <c r="A84" s="15" t="n">
        <v>46175</v>
      </c>
      <c r="B84" s="16" t="n">
        <v>4.05</v>
      </c>
      <c r="C84" s="17">
        <f>(B84-B85)*100</f>
        <v/>
      </c>
      <c r="D84" s="16" t="n">
        <v>4.09</v>
      </c>
      <c r="E84" s="17">
        <f>(D84-D85)*100</f>
        <v/>
      </c>
      <c r="F84" s="16" t="n">
        <v>4.46</v>
      </c>
      <c r="G84" s="17">
        <f>(F84-F85)*100</f>
        <v/>
      </c>
      <c r="H84" s="16" t="n">
        <v>4.97</v>
      </c>
      <c r="I84" s="17">
        <f>(H84-H85)*100</f>
        <v/>
      </c>
      <c r="J84" s="17">
        <f>(F84-B84)*100</f>
        <v/>
      </c>
      <c r="K84" s="18">
        <f>(J84-$D$9)/$E$9</f>
        <v/>
      </c>
      <c r="L84" s="17">
        <f>(F84-D84)*100</f>
        <v/>
      </c>
      <c r="M84" s="18">
        <f>(L84-$D$10)/$E$10</f>
        <v/>
      </c>
      <c r="N84" s="17">
        <f>(H84-F84)*100</f>
        <v/>
      </c>
      <c r="O84" s="18">
        <f>(N84-$D$11)/$E$11</f>
        <v/>
      </c>
      <c r="P84" s="17">
        <f>(H84-B84)*100</f>
        <v/>
      </c>
      <c r="Q84" s="18">
        <f>(P84-$D$12)/$E$12</f>
        <v/>
      </c>
      <c r="R84" s="17">
        <f>J84-J85</f>
        <v/>
      </c>
      <c r="S84" s="17">
        <f>L84-L85</f>
        <v/>
      </c>
      <c r="T84" s="17">
        <f>N84-N85</f>
        <v/>
      </c>
      <c r="U84" s="17">
        <f>P84-P85</f>
        <v/>
      </c>
    </row>
    <row r="85">
      <c r="A85" s="15" t="n">
        <v>46174</v>
      </c>
      <c r="B85" s="16" t="n">
        <v>4.05</v>
      </c>
      <c r="C85" s="17">
        <f>(B85-B86)*100</f>
        <v/>
      </c>
      <c r="D85" s="16" t="n">
        <v>4.09</v>
      </c>
      <c r="E85" s="17">
        <f>(D85-D86)*100</f>
        <v/>
      </c>
      <c r="F85" s="16" t="n">
        <v>4.47</v>
      </c>
      <c r="G85" s="17">
        <f>(F85-F86)*100</f>
        <v/>
      </c>
      <c r="H85" s="16" t="n">
        <v>4.99</v>
      </c>
      <c r="I85" s="17">
        <f>(H85-H86)*100</f>
        <v/>
      </c>
      <c r="J85" s="17">
        <f>(F85-B85)*100</f>
        <v/>
      </c>
      <c r="K85" s="18">
        <f>(J85-$D$9)/$E$9</f>
        <v/>
      </c>
      <c r="L85" s="17">
        <f>(F85-D85)*100</f>
        <v/>
      </c>
      <c r="M85" s="18">
        <f>(L85-$D$10)/$E$10</f>
        <v/>
      </c>
      <c r="N85" s="17">
        <f>(H85-F85)*100</f>
        <v/>
      </c>
      <c r="O85" s="18">
        <f>(N85-$D$11)/$E$11</f>
        <v/>
      </c>
      <c r="P85" s="17">
        <f>(H85-B85)*100</f>
        <v/>
      </c>
      <c r="Q85" s="18">
        <f>(P85-$D$12)/$E$12</f>
        <v/>
      </c>
      <c r="R85" s="17">
        <f>J85-J86</f>
        <v/>
      </c>
      <c r="S85" s="17">
        <f>L85-L86</f>
        <v/>
      </c>
      <c r="T85" s="17">
        <f>N85-N86</f>
        <v/>
      </c>
      <c r="U85" s="17">
        <f>P85-P86</f>
        <v/>
      </c>
    </row>
    <row r="86">
      <c r="A86" s="15" t="n">
        <v>46171</v>
      </c>
      <c r="B86" s="16" t="n">
        <v>3.98</v>
      </c>
      <c r="C86" s="17">
        <f>(B86-B87)*100</f>
        <v/>
      </c>
      <c r="D86" s="16" t="n">
        <v>4.06</v>
      </c>
      <c r="E86" s="17">
        <f>(D86-D87)*100</f>
        <v/>
      </c>
      <c r="F86" s="16" t="n">
        <v>4.45</v>
      </c>
      <c r="G86" s="17">
        <f>(F86-F87)*100</f>
        <v/>
      </c>
      <c r="H86" s="16" t="n">
        <v>4.99</v>
      </c>
      <c r="I86" s="17">
        <f>(H86-H87)*100</f>
        <v/>
      </c>
      <c r="J86" s="17">
        <f>(F86-B86)*100</f>
        <v/>
      </c>
      <c r="K86" s="18">
        <f>(J86-$D$9)/$E$9</f>
        <v/>
      </c>
      <c r="L86" s="17">
        <f>(F86-D86)*100</f>
        <v/>
      </c>
      <c r="M86" s="18">
        <f>(L86-$D$10)/$E$10</f>
        <v/>
      </c>
      <c r="N86" s="17">
        <f>(H86-F86)*100</f>
        <v/>
      </c>
      <c r="O86" s="18">
        <f>(N86-$D$11)/$E$11</f>
        <v/>
      </c>
      <c r="P86" s="17">
        <f>(H86-B86)*100</f>
        <v/>
      </c>
      <c r="Q86" s="18">
        <f>(P86-$D$12)/$E$12</f>
        <v/>
      </c>
      <c r="R86" s="17">
        <f>J86-J87</f>
        <v/>
      </c>
      <c r="S86" s="17">
        <f>L86-L87</f>
        <v/>
      </c>
      <c r="T86" s="17">
        <f>N86-N87</f>
        <v/>
      </c>
      <c r="U86" s="17">
        <f>P86-P87</f>
        <v/>
      </c>
    </row>
    <row r="87">
      <c r="A87" s="15" t="n">
        <v>46170</v>
      </c>
      <c r="B87" s="16" t="n">
        <v>3.99</v>
      </c>
      <c r="C87" s="17">
        <f>(B87-B88)*100</f>
        <v/>
      </c>
      <c r="D87" s="16" t="n">
        <v>4.07</v>
      </c>
      <c r="E87" s="17">
        <f>(D87-D88)*100</f>
        <v/>
      </c>
      <c r="F87" s="16" t="n">
        <v>4.45</v>
      </c>
      <c r="G87" s="17">
        <f>(F87-F88)*100</f>
        <v/>
      </c>
      <c r="H87" s="16" t="n">
        <v>4.98</v>
      </c>
      <c r="I87" s="17">
        <f>(H87-H88)*100</f>
        <v/>
      </c>
      <c r="J87" s="17">
        <f>(F87-B87)*100</f>
        <v/>
      </c>
      <c r="K87" s="18">
        <f>(J87-$D$9)/$E$9</f>
        <v/>
      </c>
      <c r="L87" s="17">
        <f>(F87-D87)*100</f>
        <v/>
      </c>
      <c r="M87" s="18">
        <f>(L87-$D$10)/$E$10</f>
        <v/>
      </c>
      <c r="N87" s="17">
        <f>(H87-F87)*100</f>
        <v/>
      </c>
      <c r="O87" s="18">
        <f>(N87-$D$11)/$E$11</f>
        <v/>
      </c>
      <c r="P87" s="17">
        <f>(H87-B87)*100</f>
        <v/>
      </c>
      <c r="Q87" s="18">
        <f>(P87-$D$12)/$E$12</f>
        <v/>
      </c>
      <c r="R87" s="17">
        <f>J87-J88</f>
        <v/>
      </c>
      <c r="S87" s="17">
        <f>L87-L88</f>
        <v/>
      </c>
      <c r="T87" s="17">
        <f>N87-N88</f>
        <v/>
      </c>
      <c r="U87" s="17">
        <f>P87-P88</f>
        <v/>
      </c>
    </row>
    <row r="88">
      <c r="A88" s="15" t="n">
        <v>46169</v>
      </c>
      <c r="B88" s="16" t="n">
        <v>4</v>
      </c>
      <c r="C88" s="17">
        <f>(B88-B89)*100</f>
        <v/>
      </c>
      <c r="D88" s="16" t="n">
        <v>4.09</v>
      </c>
      <c r="E88" s="17">
        <f>(D88-D89)*100</f>
        <v/>
      </c>
      <c r="F88" s="16" t="n">
        <v>4.48</v>
      </c>
      <c r="G88" s="17">
        <f>(F88-F89)*100</f>
        <v/>
      </c>
      <c r="H88" s="16" t="n">
        <v>5.01</v>
      </c>
      <c r="I88" s="17">
        <f>(H88-H89)*100</f>
        <v/>
      </c>
      <c r="J88" s="17">
        <f>(F88-B88)*100</f>
        <v/>
      </c>
      <c r="K88" s="18">
        <f>(J88-$D$9)/$E$9</f>
        <v/>
      </c>
      <c r="L88" s="17">
        <f>(F88-D88)*100</f>
        <v/>
      </c>
      <c r="M88" s="18">
        <f>(L88-$D$10)/$E$10</f>
        <v/>
      </c>
      <c r="N88" s="17">
        <f>(H88-F88)*100</f>
        <v/>
      </c>
      <c r="O88" s="18">
        <f>(N88-$D$11)/$E$11</f>
        <v/>
      </c>
      <c r="P88" s="17">
        <f>(H88-B88)*100</f>
        <v/>
      </c>
      <c r="Q88" s="18">
        <f>(P88-$D$12)/$E$12</f>
        <v/>
      </c>
      <c r="R88" s="17">
        <f>J88-J89</f>
        <v/>
      </c>
      <c r="S88" s="17">
        <f>L88-L89</f>
        <v/>
      </c>
      <c r="T88" s="17">
        <f>N88-N89</f>
        <v/>
      </c>
      <c r="U88" s="17">
        <f>P88-P89</f>
        <v/>
      </c>
    </row>
    <row r="89">
      <c r="A89" s="15" t="n">
        <v>46168</v>
      </c>
      <c r="B89" s="16" t="n">
        <v>4.01</v>
      </c>
      <c r="C89" s="17">
        <f>(B89-B90)*100</f>
        <v/>
      </c>
      <c r="D89" s="16" t="n">
        <v>4.1</v>
      </c>
      <c r="E89" s="17">
        <f>(D89-D90)*100</f>
        <v/>
      </c>
      <c r="F89" s="16" t="n">
        <v>4.5</v>
      </c>
      <c r="G89" s="17">
        <f>(F89-F90)*100</f>
        <v/>
      </c>
      <c r="H89" s="16" t="n">
        <v>5.03</v>
      </c>
      <c r="I89" s="17">
        <f>(H89-H90)*100</f>
        <v/>
      </c>
      <c r="J89" s="17">
        <f>(F89-B89)*100</f>
        <v/>
      </c>
      <c r="K89" s="18">
        <f>(J89-$D$9)/$E$9</f>
        <v/>
      </c>
      <c r="L89" s="17">
        <f>(F89-D89)*100</f>
        <v/>
      </c>
      <c r="M89" s="18">
        <f>(L89-$D$10)/$E$10</f>
        <v/>
      </c>
      <c r="N89" s="17">
        <f>(H89-F89)*100</f>
        <v/>
      </c>
      <c r="O89" s="18">
        <f>(N89-$D$11)/$E$11</f>
        <v/>
      </c>
      <c r="P89" s="17">
        <f>(H89-B89)*100</f>
        <v/>
      </c>
      <c r="Q89" s="18">
        <f>(P89-$D$12)/$E$12</f>
        <v/>
      </c>
      <c r="R89" s="17">
        <f>J89-J90</f>
        <v/>
      </c>
      <c r="S89" s="17">
        <f>L89-L90</f>
        <v/>
      </c>
      <c r="T89" s="17">
        <f>N89-N90</f>
        <v/>
      </c>
      <c r="U89" s="17">
        <f>P89-P90</f>
        <v/>
      </c>
    </row>
    <row r="90">
      <c r="A90" s="15" t="n">
        <v>46164</v>
      </c>
      <c r="B90" s="16" t="n">
        <v>4.13</v>
      </c>
      <c r="C90" s="17">
        <f>(B90-B91)*100</f>
        <v/>
      </c>
      <c r="D90" s="16" t="n">
        <v>4.18</v>
      </c>
      <c r="E90" s="17">
        <f>(D90-D91)*100</f>
        <v/>
      </c>
      <c r="F90" s="16" t="n">
        <v>4.56</v>
      </c>
      <c r="G90" s="17">
        <f>(F90-F91)*100</f>
        <v/>
      </c>
      <c r="H90" s="16" t="n">
        <v>5.07</v>
      </c>
      <c r="I90" s="17">
        <f>(H90-H91)*100</f>
        <v/>
      </c>
      <c r="J90" s="17">
        <f>(F90-B90)*100</f>
        <v/>
      </c>
      <c r="K90" s="18">
        <f>(J90-$D$9)/$E$9</f>
        <v/>
      </c>
      <c r="L90" s="17">
        <f>(F90-D90)*100</f>
        <v/>
      </c>
      <c r="M90" s="18">
        <f>(L90-$D$10)/$E$10</f>
        <v/>
      </c>
      <c r="N90" s="17">
        <f>(H90-F90)*100</f>
        <v/>
      </c>
      <c r="O90" s="18">
        <f>(N90-$D$11)/$E$11</f>
        <v/>
      </c>
      <c r="P90" s="17">
        <f>(H90-B90)*100</f>
        <v/>
      </c>
      <c r="Q90" s="18">
        <f>(P90-$D$12)/$E$12</f>
        <v/>
      </c>
      <c r="R90" s="17">
        <f>J90-J91</f>
        <v/>
      </c>
      <c r="S90" s="17">
        <f>L90-L91</f>
        <v/>
      </c>
      <c r="T90" s="17">
        <f>N90-N91</f>
        <v/>
      </c>
      <c r="U90" s="17">
        <f>P90-P91</f>
        <v/>
      </c>
    </row>
    <row r="91">
      <c r="A91" s="15" t="n">
        <v>46163</v>
      </c>
      <c r="B91" s="16" t="n">
        <v>4.08</v>
      </c>
      <c r="C91" s="17">
        <f>(B91-B92)*100</f>
        <v/>
      </c>
      <c r="D91" s="16" t="n">
        <v>4.13</v>
      </c>
      <c r="E91" s="17">
        <f>(D91-D92)*100</f>
        <v/>
      </c>
      <c r="F91" s="16" t="n">
        <v>4.57</v>
      </c>
      <c r="G91" s="17">
        <f>(F91-F92)*100</f>
        <v/>
      </c>
      <c r="H91" s="16" t="n">
        <v>5.1</v>
      </c>
      <c r="I91" s="17">
        <f>(H91-H92)*100</f>
        <v/>
      </c>
      <c r="J91" s="17">
        <f>(F91-B91)*100</f>
        <v/>
      </c>
      <c r="K91" s="18">
        <f>(J91-$D$9)/$E$9</f>
        <v/>
      </c>
      <c r="L91" s="17">
        <f>(F91-D91)*100</f>
        <v/>
      </c>
      <c r="M91" s="18">
        <f>(L91-$D$10)/$E$10</f>
        <v/>
      </c>
      <c r="N91" s="17">
        <f>(H91-F91)*100</f>
        <v/>
      </c>
      <c r="O91" s="18">
        <f>(N91-$D$11)/$E$11</f>
        <v/>
      </c>
      <c r="P91" s="17">
        <f>(H91-B91)*100</f>
        <v/>
      </c>
      <c r="Q91" s="18">
        <f>(P91-$D$12)/$E$12</f>
        <v/>
      </c>
      <c r="R91" s="17">
        <f>J91-J92</f>
        <v/>
      </c>
      <c r="S91" s="17">
        <f>L91-L92</f>
        <v/>
      </c>
      <c r="T91" s="17">
        <f>N91-N92</f>
        <v/>
      </c>
      <c r="U91" s="17">
        <f>P91-P92</f>
        <v/>
      </c>
    </row>
    <row r="92">
      <c r="A92" s="15" t="n">
        <v>46162</v>
      </c>
      <c r="B92" s="16" t="n">
        <v>4.04</v>
      </c>
      <c r="C92" s="17">
        <f>(B92-B93)*100</f>
        <v/>
      </c>
      <c r="D92" s="16" t="n">
        <v>4.11</v>
      </c>
      <c r="E92" s="17">
        <f>(D92-D93)*100</f>
        <v/>
      </c>
      <c r="F92" s="16" t="n">
        <v>4.57</v>
      </c>
      <c r="G92" s="17">
        <f>(F92-F93)*100</f>
        <v/>
      </c>
      <c r="H92" s="16" t="n">
        <v>5.11</v>
      </c>
      <c r="I92" s="17">
        <f>(H92-H93)*100</f>
        <v/>
      </c>
      <c r="J92" s="17">
        <f>(F92-B92)*100</f>
        <v/>
      </c>
      <c r="K92" s="18">
        <f>(J92-$D$9)/$E$9</f>
        <v/>
      </c>
      <c r="L92" s="17">
        <f>(F92-D92)*100</f>
        <v/>
      </c>
      <c r="M92" s="18">
        <f>(L92-$D$10)/$E$10</f>
        <v/>
      </c>
      <c r="N92" s="17">
        <f>(H92-F92)*100</f>
        <v/>
      </c>
      <c r="O92" s="18">
        <f>(N92-$D$11)/$E$11</f>
        <v/>
      </c>
      <c r="P92" s="17">
        <f>(H92-B92)*100</f>
        <v/>
      </c>
      <c r="Q92" s="18">
        <f>(P92-$D$12)/$E$12</f>
        <v/>
      </c>
      <c r="R92" s="17">
        <f>J92-J93</f>
        <v/>
      </c>
      <c r="S92" s="17">
        <f>L92-L93</f>
        <v/>
      </c>
      <c r="T92" s="17">
        <f>N92-N93</f>
        <v/>
      </c>
      <c r="U92" s="17">
        <f>P92-P93</f>
        <v/>
      </c>
    </row>
    <row r="93">
      <c r="A93" s="15" t="n">
        <v>46161</v>
      </c>
      <c r="B93" s="16" t="n">
        <v>4.13</v>
      </c>
      <c r="C93" s="17">
        <f>(B93-B94)*100</f>
        <v/>
      </c>
      <c r="D93" s="16" t="n">
        <v>4.2</v>
      </c>
      <c r="E93" s="17">
        <f>(D93-D94)*100</f>
        <v/>
      </c>
      <c r="F93" s="16" t="n">
        <v>4.67</v>
      </c>
      <c r="G93" s="17">
        <f>(F93-F94)*100</f>
        <v/>
      </c>
      <c r="H93" s="16" t="n">
        <v>5.18</v>
      </c>
      <c r="I93" s="17">
        <f>(H93-H94)*100</f>
        <v/>
      </c>
      <c r="J93" s="17">
        <f>(F93-B93)*100</f>
        <v/>
      </c>
      <c r="K93" s="18">
        <f>(J93-$D$9)/$E$9</f>
        <v/>
      </c>
      <c r="L93" s="17">
        <f>(F93-D93)*100</f>
        <v/>
      </c>
      <c r="M93" s="18">
        <f>(L93-$D$10)/$E$10</f>
        <v/>
      </c>
      <c r="N93" s="17">
        <f>(H93-F93)*100</f>
        <v/>
      </c>
      <c r="O93" s="18">
        <f>(N93-$D$11)/$E$11</f>
        <v/>
      </c>
      <c r="P93" s="17">
        <f>(H93-B93)*100</f>
        <v/>
      </c>
      <c r="Q93" s="18">
        <f>(P93-$D$12)/$E$12</f>
        <v/>
      </c>
      <c r="R93" s="17">
        <f>J93-J94</f>
        <v/>
      </c>
      <c r="S93" s="17">
        <f>L93-L94</f>
        <v/>
      </c>
      <c r="T93" s="17">
        <f>N93-N94</f>
        <v/>
      </c>
      <c r="U93" s="17">
        <f>P93-P94</f>
        <v/>
      </c>
    </row>
    <row r="94">
      <c r="A94" s="15" t="n">
        <v>46160</v>
      </c>
      <c r="B94" s="16" t="n">
        <v>4.07</v>
      </c>
      <c r="C94" s="17">
        <f>(B94-B95)*100</f>
        <v/>
      </c>
      <c r="D94" s="16" t="n">
        <v>4.14</v>
      </c>
      <c r="E94" s="17">
        <f>(D94-D95)*100</f>
        <v/>
      </c>
      <c r="F94" s="16" t="n">
        <v>4.61</v>
      </c>
      <c r="G94" s="17">
        <f>(F94-F95)*100</f>
        <v/>
      </c>
      <c r="H94" s="16" t="n">
        <v>5.14</v>
      </c>
      <c r="I94" s="17">
        <f>(H94-H95)*100</f>
        <v/>
      </c>
      <c r="J94" s="17">
        <f>(F94-B94)*100</f>
        <v/>
      </c>
      <c r="K94" s="18">
        <f>(J94-$D$9)/$E$9</f>
        <v/>
      </c>
      <c r="L94" s="17">
        <f>(F94-D94)*100</f>
        <v/>
      </c>
      <c r="M94" s="18">
        <f>(L94-$D$10)/$E$10</f>
        <v/>
      </c>
      <c r="N94" s="17">
        <f>(H94-F94)*100</f>
        <v/>
      </c>
      <c r="O94" s="18">
        <f>(N94-$D$11)/$E$11</f>
        <v/>
      </c>
      <c r="P94" s="17">
        <f>(H94-B94)*100</f>
        <v/>
      </c>
      <c r="Q94" s="18">
        <f>(P94-$D$12)/$E$12</f>
        <v/>
      </c>
      <c r="R94" s="17">
        <f>J94-J95</f>
        <v/>
      </c>
      <c r="S94" s="17">
        <f>L94-L95</f>
        <v/>
      </c>
      <c r="T94" s="17">
        <f>N94-N95</f>
        <v/>
      </c>
      <c r="U94" s="17">
        <f>P94-P95</f>
        <v/>
      </c>
    </row>
    <row r="95">
      <c r="A95" s="15" t="n">
        <v>46157</v>
      </c>
      <c r="B95" s="16" t="n">
        <v>4.09</v>
      </c>
      <c r="C95" s="17">
        <f>(B95-B96)*100</f>
        <v/>
      </c>
      <c r="D95" s="16" t="n">
        <v>4.14</v>
      </c>
      <c r="E95" s="17">
        <f>(D95-D96)*100</f>
        <v/>
      </c>
      <c r="F95" s="16" t="n">
        <v>4.59</v>
      </c>
      <c r="G95" s="17">
        <f>(F95-F96)*100</f>
        <v/>
      </c>
      <c r="H95" s="16" t="n">
        <v>5.12</v>
      </c>
      <c r="I95" s="17">
        <f>(H95-H96)*100</f>
        <v/>
      </c>
      <c r="J95" s="17">
        <f>(F95-B95)*100</f>
        <v/>
      </c>
      <c r="K95" s="18">
        <f>(J95-$D$9)/$E$9</f>
        <v/>
      </c>
      <c r="L95" s="17">
        <f>(F95-D95)*100</f>
        <v/>
      </c>
      <c r="M95" s="18">
        <f>(L95-$D$10)/$E$10</f>
        <v/>
      </c>
      <c r="N95" s="17">
        <f>(H95-F95)*100</f>
        <v/>
      </c>
      <c r="O95" s="18">
        <f>(N95-$D$11)/$E$11</f>
        <v/>
      </c>
      <c r="P95" s="17">
        <f>(H95-B95)*100</f>
        <v/>
      </c>
      <c r="Q95" s="18">
        <f>(P95-$D$12)/$E$12</f>
        <v/>
      </c>
      <c r="R95" s="17">
        <f>J95-J96</f>
        <v/>
      </c>
      <c r="S95" s="17">
        <f>L95-L96</f>
        <v/>
      </c>
      <c r="T95" s="17">
        <f>N95-N96</f>
        <v/>
      </c>
      <c r="U95" s="17">
        <f>P95-P96</f>
        <v/>
      </c>
    </row>
    <row r="96">
      <c r="A96" s="15" t="n">
        <v>46156</v>
      </c>
      <c r="B96" s="16" t="n">
        <v>4</v>
      </c>
      <c r="C96" s="17">
        <f>(B96-B97)*100</f>
        <v/>
      </c>
      <c r="D96" s="16" t="n">
        <v>4.04</v>
      </c>
      <c r="E96" s="17">
        <f>(D96-D97)*100</f>
        <v/>
      </c>
      <c r="F96" s="16" t="n">
        <v>4.47</v>
      </c>
      <c r="G96" s="17">
        <f>(F96-F97)*100</f>
        <v/>
      </c>
      <c r="H96" s="16" t="n">
        <v>5.02</v>
      </c>
      <c r="I96" s="17">
        <f>(H96-H97)*100</f>
        <v/>
      </c>
      <c r="J96" s="17">
        <f>(F96-B96)*100</f>
        <v/>
      </c>
      <c r="K96" s="18">
        <f>(J96-$D$9)/$E$9</f>
        <v/>
      </c>
      <c r="L96" s="17">
        <f>(F96-D96)*100</f>
        <v/>
      </c>
      <c r="M96" s="18">
        <f>(L96-$D$10)/$E$10</f>
        <v/>
      </c>
      <c r="N96" s="17">
        <f>(H96-F96)*100</f>
        <v/>
      </c>
      <c r="O96" s="18">
        <f>(N96-$D$11)/$E$11</f>
        <v/>
      </c>
      <c r="P96" s="17">
        <f>(H96-B96)*100</f>
        <v/>
      </c>
      <c r="Q96" s="18">
        <f>(P96-$D$12)/$E$12</f>
        <v/>
      </c>
      <c r="R96" s="17">
        <f>J96-J97</f>
        <v/>
      </c>
      <c r="S96" s="17">
        <f>L96-L97</f>
        <v/>
      </c>
      <c r="T96" s="17">
        <f>N96-N97</f>
        <v/>
      </c>
      <c r="U96" s="17">
        <f>P96-P97</f>
        <v/>
      </c>
    </row>
    <row r="97">
      <c r="A97" s="15" t="n">
        <v>46155</v>
      </c>
      <c r="B97" s="16" t="n">
        <v>3.98</v>
      </c>
      <c r="C97" s="17">
        <f>(B97-B98)*100</f>
        <v/>
      </c>
      <c r="D97" s="16" t="n">
        <v>4</v>
      </c>
      <c r="E97" s="17">
        <f>(D97-D98)*100</f>
        <v/>
      </c>
      <c r="F97" s="16" t="n">
        <v>4.46</v>
      </c>
      <c r="G97" s="17">
        <f>(F97-F98)*100</f>
        <v/>
      </c>
      <c r="H97" s="16" t="n">
        <v>5.03</v>
      </c>
      <c r="I97" s="17">
        <f>(H97-H98)*100</f>
        <v/>
      </c>
      <c r="J97" s="17">
        <f>(F97-B97)*100</f>
        <v/>
      </c>
      <c r="K97" s="18">
        <f>(J97-$D$9)/$E$9</f>
        <v/>
      </c>
      <c r="L97" s="17">
        <f>(F97-D97)*100</f>
        <v/>
      </c>
      <c r="M97" s="18">
        <f>(L97-$D$10)/$E$10</f>
        <v/>
      </c>
      <c r="N97" s="17">
        <f>(H97-F97)*100</f>
        <v/>
      </c>
      <c r="O97" s="18">
        <f>(N97-$D$11)/$E$11</f>
        <v/>
      </c>
      <c r="P97" s="17">
        <f>(H97-B97)*100</f>
        <v/>
      </c>
      <c r="Q97" s="18">
        <f>(P97-$D$12)/$E$12</f>
        <v/>
      </c>
      <c r="R97" s="17">
        <f>J97-J98</f>
        <v/>
      </c>
      <c r="S97" s="17">
        <f>L97-L98</f>
        <v/>
      </c>
      <c r="T97" s="17">
        <f>N97-N98</f>
        <v/>
      </c>
      <c r="U97" s="17">
        <f>P97-P98</f>
        <v/>
      </c>
    </row>
    <row r="98">
      <c r="A98" s="15" t="n">
        <v>46154</v>
      </c>
      <c r="B98" s="16" t="n">
        <v>4</v>
      </c>
      <c r="C98" s="17">
        <f>(B98-B99)*100</f>
        <v/>
      </c>
      <c r="D98" s="16" t="n">
        <v>4.01</v>
      </c>
      <c r="E98" s="17">
        <f>(D98-D99)*100</f>
        <v/>
      </c>
      <c r="F98" s="16" t="n">
        <v>4.46</v>
      </c>
      <c r="G98" s="17">
        <f>(F98-F99)*100</f>
        <v/>
      </c>
      <c r="H98" s="16" t="n">
        <v>5.03</v>
      </c>
      <c r="I98" s="17">
        <f>(H98-H99)*100</f>
        <v/>
      </c>
      <c r="J98" s="17">
        <f>(F98-B98)*100</f>
        <v/>
      </c>
      <c r="K98" s="18">
        <f>(J98-$D$9)/$E$9</f>
        <v/>
      </c>
      <c r="L98" s="17">
        <f>(F98-D98)*100</f>
        <v/>
      </c>
      <c r="M98" s="18">
        <f>(L98-$D$10)/$E$10</f>
        <v/>
      </c>
      <c r="N98" s="17">
        <f>(H98-F98)*100</f>
        <v/>
      </c>
      <c r="O98" s="18">
        <f>(N98-$D$11)/$E$11</f>
        <v/>
      </c>
      <c r="P98" s="17">
        <f>(H98-B98)*100</f>
        <v/>
      </c>
      <c r="Q98" s="18">
        <f>(P98-$D$12)/$E$12</f>
        <v/>
      </c>
      <c r="R98" s="17">
        <f>J98-J99</f>
        <v/>
      </c>
      <c r="S98" s="17">
        <f>L98-L99</f>
        <v/>
      </c>
      <c r="T98" s="17">
        <f>N98-N99</f>
        <v/>
      </c>
      <c r="U98" s="17">
        <f>P98-P99</f>
        <v/>
      </c>
    </row>
    <row r="99">
      <c r="A99" s="15" t="n">
        <v>46153</v>
      </c>
      <c r="B99" s="16" t="n">
        <v>3.95</v>
      </c>
      <c r="C99" s="17">
        <f>(B99-B100)*100</f>
        <v/>
      </c>
      <c r="D99" s="16" t="n">
        <v>3.96</v>
      </c>
      <c r="E99" s="17">
        <f>(D99-D100)*100</f>
        <v/>
      </c>
      <c r="F99" s="16" t="n">
        <v>4.42</v>
      </c>
      <c r="G99" s="17">
        <f>(F99-F100)*100</f>
        <v/>
      </c>
      <c r="H99" s="16" t="n">
        <v>4.98</v>
      </c>
      <c r="I99" s="17">
        <f>(H99-H100)*100</f>
        <v/>
      </c>
      <c r="J99" s="17">
        <f>(F99-B99)*100</f>
        <v/>
      </c>
      <c r="K99" s="18">
        <f>(J99-$D$9)/$E$9</f>
        <v/>
      </c>
      <c r="L99" s="17">
        <f>(F99-D99)*100</f>
        <v/>
      </c>
      <c r="M99" s="18">
        <f>(L99-$D$10)/$E$10</f>
        <v/>
      </c>
      <c r="N99" s="17">
        <f>(H99-F99)*100</f>
        <v/>
      </c>
      <c r="O99" s="18">
        <f>(N99-$D$11)/$E$11</f>
        <v/>
      </c>
      <c r="P99" s="17">
        <f>(H99-B99)*100</f>
        <v/>
      </c>
      <c r="Q99" s="18">
        <f>(P99-$D$12)/$E$12</f>
        <v/>
      </c>
      <c r="R99" s="17">
        <f>J99-J100</f>
        <v/>
      </c>
      <c r="S99" s="17">
        <f>L99-L100</f>
        <v/>
      </c>
      <c r="T99" s="17">
        <f>N99-N100</f>
        <v/>
      </c>
      <c r="U99" s="17">
        <f>P99-P100</f>
        <v/>
      </c>
    </row>
    <row r="100">
      <c r="A100" s="15" t="n">
        <v>46150</v>
      </c>
      <c r="B100" s="16" t="n">
        <v>3.9</v>
      </c>
      <c r="C100" s="17">
        <f>(B100-B101)*100</f>
        <v/>
      </c>
      <c r="D100" s="16" t="n">
        <v>3.92</v>
      </c>
      <c r="E100" s="17">
        <f>(D100-D101)*100</f>
        <v/>
      </c>
      <c r="F100" s="16" t="n">
        <v>4.38</v>
      </c>
      <c r="G100" s="17">
        <f>(F100-F101)*100</f>
        <v/>
      </c>
      <c r="H100" s="16" t="n">
        <v>4.95</v>
      </c>
      <c r="I100" s="17">
        <f>(H100-H101)*100</f>
        <v/>
      </c>
      <c r="J100" s="17">
        <f>(F100-B100)*100</f>
        <v/>
      </c>
      <c r="K100" s="18">
        <f>(J100-$D$9)/$E$9</f>
        <v/>
      </c>
      <c r="L100" s="17">
        <f>(F100-D100)*100</f>
        <v/>
      </c>
      <c r="M100" s="18">
        <f>(L100-$D$10)/$E$10</f>
        <v/>
      </c>
      <c r="N100" s="17">
        <f>(H100-F100)*100</f>
        <v/>
      </c>
      <c r="O100" s="18">
        <f>(N100-$D$11)/$E$11</f>
        <v/>
      </c>
      <c r="P100" s="17">
        <f>(H100-B100)*100</f>
        <v/>
      </c>
      <c r="Q100" s="18">
        <f>(P100-$D$12)/$E$12</f>
        <v/>
      </c>
      <c r="R100" s="17">
        <f>J100-J101</f>
        <v/>
      </c>
      <c r="S100" s="17">
        <f>L100-L101</f>
        <v/>
      </c>
      <c r="T100" s="17">
        <f>N100-N101</f>
        <v/>
      </c>
      <c r="U100" s="17">
        <f>P100-P101</f>
        <v/>
      </c>
    </row>
    <row r="101">
      <c r="A101" s="15" t="n">
        <v>46149</v>
      </c>
      <c r="B101" s="16" t="n">
        <v>3.92</v>
      </c>
      <c r="C101" s="17">
        <f>(B101-B102)*100</f>
        <v/>
      </c>
      <c r="D101" s="16" t="n">
        <v>3.94</v>
      </c>
      <c r="E101" s="17">
        <f>(D101-D102)*100</f>
        <v/>
      </c>
      <c r="F101" s="16" t="n">
        <v>4.41</v>
      </c>
      <c r="G101" s="17">
        <f>(F101-F102)*100</f>
        <v/>
      </c>
      <c r="H101" s="16" t="n">
        <v>4.97</v>
      </c>
      <c r="I101" s="17">
        <f>(H101-H102)*100</f>
        <v/>
      </c>
      <c r="J101" s="17">
        <f>(F101-B101)*100</f>
        <v/>
      </c>
      <c r="K101" s="18">
        <f>(J101-$D$9)/$E$9</f>
        <v/>
      </c>
      <c r="L101" s="17">
        <f>(F101-D101)*100</f>
        <v/>
      </c>
      <c r="M101" s="18">
        <f>(L101-$D$10)/$E$10</f>
        <v/>
      </c>
      <c r="N101" s="17">
        <f>(H101-F101)*100</f>
        <v/>
      </c>
      <c r="O101" s="18">
        <f>(N101-$D$11)/$E$11</f>
        <v/>
      </c>
      <c r="P101" s="17">
        <f>(H101-B101)*100</f>
        <v/>
      </c>
      <c r="Q101" s="18">
        <f>(P101-$D$12)/$E$12</f>
        <v/>
      </c>
      <c r="R101" s="17">
        <f>J101-J102</f>
        <v/>
      </c>
      <c r="S101" s="17">
        <f>L101-L102</f>
        <v/>
      </c>
      <c r="T101" s="17">
        <f>N101-N102</f>
        <v/>
      </c>
      <c r="U101" s="17">
        <f>P101-P102</f>
        <v/>
      </c>
    </row>
    <row r="102">
      <c r="A102" s="15" t="n">
        <v>46148</v>
      </c>
      <c r="B102" s="16" t="n">
        <v>3.87</v>
      </c>
      <c r="C102" s="17">
        <f>(B102-B103)*100</f>
        <v/>
      </c>
      <c r="D102" s="16" t="n">
        <v>3.89</v>
      </c>
      <c r="E102" s="17">
        <f>(D102-D103)*100</f>
        <v/>
      </c>
      <c r="F102" s="16" t="n">
        <v>4.36</v>
      </c>
      <c r="G102" s="17">
        <f>(F102-F103)*100</f>
        <v/>
      </c>
      <c r="H102" s="16" t="n">
        <v>4.94</v>
      </c>
      <c r="I102" s="17">
        <f>(H102-H103)*100</f>
        <v/>
      </c>
      <c r="J102" s="17">
        <f>(F102-B102)*100</f>
        <v/>
      </c>
      <c r="K102" s="18">
        <f>(J102-$D$9)/$E$9</f>
        <v/>
      </c>
      <c r="L102" s="17">
        <f>(F102-D102)*100</f>
        <v/>
      </c>
      <c r="M102" s="18">
        <f>(L102-$D$10)/$E$10</f>
        <v/>
      </c>
      <c r="N102" s="17">
        <f>(H102-F102)*100</f>
        <v/>
      </c>
      <c r="O102" s="18">
        <f>(N102-$D$11)/$E$11</f>
        <v/>
      </c>
      <c r="P102" s="17">
        <f>(H102-B102)*100</f>
        <v/>
      </c>
      <c r="Q102" s="18">
        <f>(P102-$D$12)/$E$12</f>
        <v/>
      </c>
      <c r="R102" s="17">
        <f>J102-J103</f>
        <v/>
      </c>
      <c r="S102" s="17">
        <f>L102-L103</f>
        <v/>
      </c>
      <c r="T102" s="17">
        <f>N102-N103</f>
        <v/>
      </c>
      <c r="U102" s="17">
        <f>P102-P103</f>
        <v/>
      </c>
    </row>
    <row r="103">
      <c r="A103" s="15" t="n">
        <v>46147</v>
      </c>
      <c r="B103" s="16" t="n">
        <v>3.93</v>
      </c>
      <c r="C103" s="17">
        <f>(B103-B104)*100</f>
        <v/>
      </c>
      <c r="D103" s="16" t="n">
        <v>3.97</v>
      </c>
      <c r="E103" s="17">
        <f>(D103-D104)*100</f>
        <v/>
      </c>
      <c r="F103" s="16" t="n">
        <v>4.43</v>
      </c>
      <c r="G103" s="17">
        <f>(F103-F104)*100</f>
        <v/>
      </c>
      <c r="H103" s="16" t="n">
        <v>4.98</v>
      </c>
      <c r="I103" s="17">
        <f>(H103-H104)*100</f>
        <v/>
      </c>
      <c r="J103" s="17">
        <f>(F103-B103)*100</f>
        <v/>
      </c>
      <c r="K103" s="18">
        <f>(J103-$D$9)/$E$9</f>
        <v/>
      </c>
      <c r="L103" s="17">
        <f>(F103-D103)*100</f>
        <v/>
      </c>
      <c r="M103" s="18">
        <f>(L103-$D$10)/$E$10</f>
        <v/>
      </c>
      <c r="N103" s="17">
        <f>(H103-F103)*100</f>
        <v/>
      </c>
      <c r="O103" s="18">
        <f>(N103-$D$11)/$E$11</f>
        <v/>
      </c>
      <c r="P103" s="17">
        <f>(H103-B103)*100</f>
        <v/>
      </c>
      <c r="Q103" s="18">
        <f>(P103-$D$12)/$E$12</f>
        <v/>
      </c>
      <c r="R103" s="17">
        <f>J103-J104</f>
        <v/>
      </c>
      <c r="S103" s="17">
        <f>L103-L104</f>
        <v/>
      </c>
      <c r="T103" s="17">
        <f>N103-N104</f>
        <v/>
      </c>
      <c r="U103" s="17">
        <f>P103-P104</f>
        <v/>
      </c>
    </row>
    <row r="104">
      <c r="A104" s="15" t="n">
        <v>46146</v>
      </c>
      <c r="B104" s="16" t="n">
        <v>3.95</v>
      </c>
      <c r="C104" s="17">
        <f>(B104-B105)*100</f>
        <v/>
      </c>
      <c r="D104" s="16" t="n">
        <v>3.98</v>
      </c>
      <c r="E104" s="17">
        <f>(D104-D105)*100</f>
        <v/>
      </c>
      <c r="F104" s="16" t="n">
        <v>4.45</v>
      </c>
      <c r="G104" s="17">
        <f>(F104-F105)*100</f>
        <v/>
      </c>
      <c r="H104" s="16" t="n">
        <v>5.02</v>
      </c>
      <c r="I104" s="17">
        <f>(H104-H105)*100</f>
        <v/>
      </c>
      <c r="J104" s="17">
        <f>(F104-B104)*100</f>
        <v/>
      </c>
      <c r="K104" s="18">
        <f>(J104-$D$9)/$E$9</f>
        <v/>
      </c>
      <c r="L104" s="17">
        <f>(F104-D104)*100</f>
        <v/>
      </c>
      <c r="M104" s="18">
        <f>(L104-$D$10)/$E$10</f>
        <v/>
      </c>
      <c r="N104" s="17">
        <f>(H104-F104)*100</f>
        <v/>
      </c>
      <c r="O104" s="18">
        <f>(N104-$D$11)/$E$11</f>
        <v/>
      </c>
      <c r="P104" s="17">
        <f>(H104-B104)*100</f>
        <v/>
      </c>
      <c r="Q104" s="18">
        <f>(P104-$D$12)/$E$12</f>
        <v/>
      </c>
      <c r="R104" s="17">
        <f>J104-J105</f>
        <v/>
      </c>
      <c r="S104" s="17">
        <f>L104-L105</f>
        <v/>
      </c>
      <c r="T104" s="17">
        <f>N104-N105</f>
        <v/>
      </c>
      <c r="U104" s="17">
        <f>P104-P105</f>
        <v/>
      </c>
    </row>
    <row r="105">
      <c r="A105" s="15" t="n">
        <v>46143</v>
      </c>
      <c r="B105" s="16" t="n">
        <v>3.88</v>
      </c>
      <c r="C105" s="17">
        <f>(B105-B106)*100</f>
        <v/>
      </c>
      <c r="D105" s="16" t="n">
        <v>3.91</v>
      </c>
      <c r="E105" s="17">
        <f>(D105-D106)*100</f>
        <v/>
      </c>
      <c r="F105" s="16" t="n">
        <v>4.39</v>
      </c>
      <c r="G105" s="17">
        <f>(F105-F106)*100</f>
        <v/>
      </c>
      <c r="H105" s="16" t="n">
        <v>4.97</v>
      </c>
      <c r="I105" s="17">
        <f>(H105-H106)*100</f>
        <v/>
      </c>
      <c r="J105" s="17">
        <f>(F105-B105)*100</f>
        <v/>
      </c>
      <c r="K105" s="18">
        <f>(J105-$D$9)/$E$9</f>
        <v/>
      </c>
      <c r="L105" s="17">
        <f>(F105-D105)*100</f>
        <v/>
      </c>
      <c r="M105" s="18">
        <f>(L105-$D$10)/$E$10</f>
        <v/>
      </c>
      <c r="N105" s="17">
        <f>(H105-F105)*100</f>
        <v/>
      </c>
      <c r="O105" s="18">
        <f>(N105-$D$11)/$E$11</f>
        <v/>
      </c>
      <c r="P105" s="17">
        <f>(H105-B105)*100</f>
        <v/>
      </c>
      <c r="Q105" s="18">
        <f>(P105-$D$12)/$E$12</f>
        <v/>
      </c>
      <c r="R105" s="17">
        <f>J105-J106</f>
        <v/>
      </c>
      <c r="S105" s="17">
        <f>L105-L106</f>
        <v/>
      </c>
      <c r="T105" s="17">
        <f>N105-N106</f>
        <v/>
      </c>
      <c r="U105" s="17">
        <f>P105-P106</f>
        <v/>
      </c>
    </row>
    <row r="106">
      <c r="A106" s="15" t="n">
        <v>46142</v>
      </c>
      <c r="B106" s="16" t="n">
        <v>3.88</v>
      </c>
      <c r="C106" s="17">
        <f>(B106-B107)*100</f>
        <v/>
      </c>
      <c r="D106" s="16" t="n">
        <v>3.91</v>
      </c>
      <c r="E106" s="17">
        <f>(D106-D107)*100</f>
        <v/>
      </c>
      <c r="F106" s="16" t="n">
        <v>4.4</v>
      </c>
      <c r="G106" s="17">
        <f>(F106-F107)*100</f>
        <v/>
      </c>
      <c r="H106" s="16" t="n">
        <v>4.98</v>
      </c>
      <c r="I106" s="17">
        <f>(H106-H107)*100</f>
        <v/>
      </c>
      <c r="J106" s="17">
        <f>(F106-B106)*100</f>
        <v/>
      </c>
      <c r="K106" s="18">
        <f>(J106-$D$9)/$E$9</f>
        <v/>
      </c>
      <c r="L106" s="17">
        <f>(F106-D106)*100</f>
        <v/>
      </c>
      <c r="M106" s="18">
        <f>(L106-$D$10)/$E$10</f>
        <v/>
      </c>
      <c r="N106" s="17">
        <f>(H106-F106)*100</f>
        <v/>
      </c>
      <c r="O106" s="18">
        <f>(N106-$D$11)/$E$11</f>
        <v/>
      </c>
      <c r="P106" s="17">
        <f>(H106-B106)*100</f>
        <v/>
      </c>
      <c r="Q106" s="18">
        <f>(P106-$D$12)/$E$12</f>
        <v/>
      </c>
      <c r="R106" s="17">
        <f>J106-J107</f>
        <v/>
      </c>
      <c r="S106" s="17">
        <f>L106-L107</f>
        <v/>
      </c>
      <c r="T106" s="17">
        <f>N106-N107</f>
        <v/>
      </c>
      <c r="U106" s="17">
        <f>P106-P107</f>
        <v/>
      </c>
    </row>
    <row r="107">
      <c r="A107" s="15" t="n">
        <v>46141</v>
      </c>
      <c r="B107" s="16" t="n">
        <v>3.92</v>
      </c>
      <c r="C107" s="17">
        <f>(B107-B108)*100</f>
        <v/>
      </c>
      <c r="D107" s="16" t="n">
        <v>3.94</v>
      </c>
      <c r="E107" s="17">
        <f>(D107-D108)*100</f>
        <v/>
      </c>
      <c r="F107" s="16" t="n">
        <v>4.42</v>
      </c>
      <c r="G107" s="17">
        <f>(F107-F108)*100</f>
        <v/>
      </c>
      <c r="H107" s="16" t="n">
        <v>4.98</v>
      </c>
      <c r="I107" s="17">
        <f>(H107-H108)*100</f>
        <v/>
      </c>
      <c r="J107" s="17">
        <f>(F107-B107)*100</f>
        <v/>
      </c>
      <c r="K107" s="18">
        <f>(J107-$D$9)/$E$9</f>
        <v/>
      </c>
      <c r="L107" s="17">
        <f>(F107-D107)*100</f>
        <v/>
      </c>
      <c r="M107" s="18">
        <f>(L107-$D$10)/$E$10</f>
        <v/>
      </c>
      <c r="N107" s="17">
        <f>(H107-F107)*100</f>
        <v/>
      </c>
      <c r="O107" s="18">
        <f>(N107-$D$11)/$E$11</f>
        <v/>
      </c>
      <c r="P107" s="17">
        <f>(H107-B107)*100</f>
        <v/>
      </c>
      <c r="Q107" s="18">
        <f>(P107-$D$12)/$E$12</f>
        <v/>
      </c>
      <c r="R107" s="17">
        <f>J107-J108</f>
        <v/>
      </c>
      <c r="S107" s="17">
        <f>L107-L108</f>
        <v/>
      </c>
      <c r="T107" s="17">
        <f>N107-N108</f>
        <v/>
      </c>
      <c r="U107" s="17">
        <f>P107-P108</f>
        <v/>
      </c>
    </row>
    <row r="108">
      <c r="A108" s="15" t="n">
        <v>46140</v>
      </c>
      <c r="B108" s="16" t="n">
        <v>3.84</v>
      </c>
      <c r="C108" s="17">
        <f>(B108-B109)*100</f>
        <v/>
      </c>
      <c r="D108" s="16" t="n">
        <v>3.86</v>
      </c>
      <c r="E108" s="17">
        <f>(D108-D109)*100</f>
        <v/>
      </c>
      <c r="F108" s="16" t="n">
        <v>4.36</v>
      </c>
      <c r="G108" s="17">
        <f>(F108-F109)*100</f>
        <v/>
      </c>
      <c r="H108" s="16" t="n">
        <v>4.94</v>
      </c>
      <c r="I108" s="17">
        <f>(H108-H109)*100</f>
        <v/>
      </c>
      <c r="J108" s="17">
        <f>(F108-B108)*100</f>
        <v/>
      </c>
      <c r="K108" s="18">
        <f>(J108-$D$9)/$E$9</f>
        <v/>
      </c>
      <c r="L108" s="17">
        <f>(F108-D108)*100</f>
        <v/>
      </c>
      <c r="M108" s="18">
        <f>(L108-$D$10)/$E$10</f>
        <v/>
      </c>
      <c r="N108" s="17">
        <f>(H108-F108)*100</f>
        <v/>
      </c>
      <c r="O108" s="18">
        <f>(N108-$D$11)/$E$11</f>
        <v/>
      </c>
      <c r="P108" s="17">
        <f>(H108-B108)*100</f>
        <v/>
      </c>
      <c r="Q108" s="18">
        <f>(P108-$D$12)/$E$12</f>
        <v/>
      </c>
      <c r="R108" s="17">
        <f>J108-J109</f>
        <v/>
      </c>
      <c r="S108" s="17">
        <f>L108-L109</f>
        <v/>
      </c>
      <c r="T108" s="17">
        <f>N108-N109</f>
        <v/>
      </c>
      <c r="U108" s="17">
        <f>P108-P109</f>
        <v/>
      </c>
    </row>
    <row r="109">
      <c r="A109" s="15" t="n">
        <v>46139</v>
      </c>
      <c r="B109" s="16" t="n">
        <v>3.78</v>
      </c>
      <c r="C109" s="17">
        <f>(B109-B110)*100</f>
        <v/>
      </c>
      <c r="D109" s="16" t="n">
        <v>3.83</v>
      </c>
      <c r="E109" s="17">
        <f>(D109-D110)*100</f>
        <v/>
      </c>
      <c r="F109" s="16" t="n">
        <v>4.35</v>
      </c>
      <c r="G109" s="17">
        <f>(F109-F110)*100</f>
        <v/>
      </c>
      <c r="H109" s="16" t="n">
        <v>4.94</v>
      </c>
      <c r="I109" s="17">
        <f>(H109-H110)*100</f>
        <v/>
      </c>
      <c r="J109" s="17">
        <f>(F109-B109)*100</f>
        <v/>
      </c>
      <c r="K109" s="18">
        <f>(J109-$D$9)/$E$9</f>
        <v/>
      </c>
      <c r="L109" s="17">
        <f>(F109-D109)*100</f>
        <v/>
      </c>
      <c r="M109" s="18">
        <f>(L109-$D$10)/$E$10</f>
        <v/>
      </c>
      <c r="N109" s="17">
        <f>(H109-F109)*100</f>
        <v/>
      </c>
      <c r="O109" s="18">
        <f>(N109-$D$11)/$E$11</f>
        <v/>
      </c>
      <c r="P109" s="17">
        <f>(H109-B109)*100</f>
        <v/>
      </c>
      <c r="Q109" s="18">
        <f>(P109-$D$12)/$E$12</f>
        <v/>
      </c>
      <c r="R109" s="17">
        <f>J109-J110</f>
        <v/>
      </c>
      <c r="S109" s="17">
        <f>L109-L110</f>
        <v/>
      </c>
      <c r="T109" s="17">
        <f>N109-N110</f>
        <v/>
      </c>
      <c r="U109" s="17">
        <f>P109-P110</f>
        <v/>
      </c>
    </row>
    <row r="110">
      <c r="A110" s="15" t="n">
        <v>46136</v>
      </c>
      <c r="B110" s="16" t="n">
        <v>3.78</v>
      </c>
      <c r="C110" s="17">
        <f>(B110-B111)*100</f>
        <v/>
      </c>
      <c r="D110" s="16" t="n">
        <v>3.8</v>
      </c>
      <c r="E110" s="17">
        <f>(D110-D111)*100</f>
        <v/>
      </c>
      <c r="F110" s="16" t="n">
        <v>4.31</v>
      </c>
      <c r="G110" s="17">
        <f>(F110-F111)*100</f>
        <v/>
      </c>
      <c r="H110" s="16" t="n">
        <v>4.91</v>
      </c>
      <c r="I110" s="17">
        <f>(H110-H111)*100</f>
        <v/>
      </c>
      <c r="J110" s="17">
        <f>(F110-B110)*100</f>
        <v/>
      </c>
      <c r="K110" s="18">
        <f>(J110-$D$9)/$E$9</f>
        <v/>
      </c>
      <c r="L110" s="17">
        <f>(F110-D110)*100</f>
        <v/>
      </c>
      <c r="M110" s="18">
        <f>(L110-$D$10)/$E$10</f>
        <v/>
      </c>
      <c r="N110" s="17">
        <f>(H110-F110)*100</f>
        <v/>
      </c>
      <c r="O110" s="18">
        <f>(N110-$D$11)/$E$11</f>
        <v/>
      </c>
      <c r="P110" s="17">
        <f>(H110-B110)*100</f>
        <v/>
      </c>
      <c r="Q110" s="18">
        <f>(P110-$D$12)/$E$12</f>
        <v/>
      </c>
      <c r="R110" s="17">
        <f>J110-J111</f>
        <v/>
      </c>
      <c r="S110" s="17">
        <f>L110-L111</f>
        <v/>
      </c>
      <c r="T110" s="17">
        <f>N110-N111</f>
        <v/>
      </c>
      <c r="U110" s="17">
        <f>P110-P111</f>
        <v/>
      </c>
    </row>
    <row r="111">
      <c r="A111" s="15" t="n">
        <v>46135</v>
      </c>
      <c r="B111" s="16" t="n">
        <v>3.83</v>
      </c>
      <c r="C111" s="17">
        <f>(B111-B112)*100</f>
        <v/>
      </c>
      <c r="D111" s="16" t="n">
        <v>3.84</v>
      </c>
      <c r="E111" s="17">
        <f>(D111-D112)*100</f>
        <v/>
      </c>
      <c r="F111" s="16" t="n">
        <v>4.34</v>
      </c>
      <c r="G111" s="17">
        <f>(F111-F112)*100</f>
        <v/>
      </c>
      <c r="H111" s="16" t="n">
        <v>4.92</v>
      </c>
      <c r="I111" s="17">
        <f>(H111-H112)*100</f>
        <v/>
      </c>
      <c r="J111" s="17">
        <f>(F111-B111)*100</f>
        <v/>
      </c>
      <c r="K111" s="18">
        <f>(J111-$D$9)/$E$9</f>
        <v/>
      </c>
      <c r="L111" s="17">
        <f>(F111-D111)*100</f>
        <v/>
      </c>
      <c r="M111" s="18">
        <f>(L111-$D$10)/$E$10</f>
        <v/>
      </c>
      <c r="N111" s="17">
        <f>(H111-F111)*100</f>
        <v/>
      </c>
      <c r="O111" s="18">
        <f>(N111-$D$11)/$E$11</f>
        <v/>
      </c>
      <c r="P111" s="17">
        <f>(H111-B111)*100</f>
        <v/>
      </c>
      <c r="Q111" s="18">
        <f>(P111-$D$12)/$E$12</f>
        <v/>
      </c>
      <c r="R111" s="17">
        <f>J111-J112</f>
        <v/>
      </c>
      <c r="S111" s="17">
        <f>L111-L112</f>
        <v/>
      </c>
      <c r="T111" s="17">
        <f>N111-N112</f>
        <v/>
      </c>
      <c r="U111" s="17">
        <f>P111-P112</f>
        <v/>
      </c>
    </row>
    <row r="112">
      <c r="A112" s="15" t="n">
        <v>46134</v>
      </c>
      <c r="B112" s="16" t="n">
        <v>3.79</v>
      </c>
      <c r="C112" s="17">
        <f>(B112-B113)*100</f>
        <v/>
      </c>
      <c r="D112" s="16" t="n">
        <v>3.81</v>
      </c>
      <c r="E112" s="17">
        <f>(D112-D113)*100</f>
        <v/>
      </c>
      <c r="F112" s="16" t="n">
        <v>4.3</v>
      </c>
      <c r="G112" s="17">
        <f>(F112-F113)*100</f>
        <v/>
      </c>
      <c r="H112" s="16" t="n">
        <v>4.9</v>
      </c>
      <c r="I112" s="17">
        <f>(H112-H113)*100</f>
        <v/>
      </c>
      <c r="J112" s="17">
        <f>(F112-B112)*100</f>
        <v/>
      </c>
      <c r="K112" s="18">
        <f>(J112-$D$9)/$E$9</f>
        <v/>
      </c>
      <c r="L112" s="17">
        <f>(F112-D112)*100</f>
        <v/>
      </c>
      <c r="M112" s="18">
        <f>(L112-$D$10)/$E$10</f>
        <v/>
      </c>
      <c r="N112" s="17">
        <f>(H112-F112)*100</f>
        <v/>
      </c>
      <c r="O112" s="18">
        <f>(N112-$D$11)/$E$11</f>
        <v/>
      </c>
      <c r="P112" s="17">
        <f>(H112-B112)*100</f>
        <v/>
      </c>
      <c r="Q112" s="18">
        <f>(P112-$D$12)/$E$12</f>
        <v/>
      </c>
      <c r="R112" s="17">
        <f>J112-J113</f>
        <v/>
      </c>
      <c r="S112" s="17">
        <f>L112-L113</f>
        <v/>
      </c>
      <c r="T112" s="17">
        <f>N112-N113</f>
        <v/>
      </c>
      <c r="U112" s="17">
        <f>P112-P113</f>
        <v/>
      </c>
    </row>
    <row r="113">
      <c r="A113" s="15" t="n">
        <v>46133</v>
      </c>
      <c r="B113" s="16" t="n">
        <v>3.78</v>
      </c>
      <c r="C113" s="17">
        <f>(B113-B114)*100</f>
        <v/>
      </c>
      <c r="D113" s="16" t="n">
        <v>3.8</v>
      </c>
      <c r="E113" s="17">
        <f>(D113-D114)*100</f>
        <v/>
      </c>
      <c r="F113" s="16" t="n">
        <v>4.3</v>
      </c>
      <c r="G113" s="17">
        <f>(F113-F114)*100</f>
        <v/>
      </c>
      <c r="H113" s="16" t="n">
        <v>4.89</v>
      </c>
      <c r="I113" s="17">
        <f>(H113-H114)*100</f>
        <v/>
      </c>
      <c r="J113" s="17">
        <f>(F113-B113)*100</f>
        <v/>
      </c>
      <c r="K113" s="18">
        <f>(J113-$D$9)/$E$9</f>
        <v/>
      </c>
      <c r="L113" s="17">
        <f>(F113-D113)*100</f>
        <v/>
      </c>
      <c r="M113" s="18">
        <f>(L113-$D$10)/$E$10</f>
        <v/>
      </c>
      <c r="N113" s="17">
        <f>(H113-F113)*100</f>
        <v/>
      </c>
      <c r="O113" s="18">
        <f>(N113-$D$11)/$E$11</f>
        <v/>
      </c>
      <c r="P113" s="17">
        <f>(H113-B113)*100</f>
        <v/>
      </c>
      <c r="Q113" s="18">
        <f>(P113-$D$12)/$E$12</f>
        <v/>
      </c>
      <c r="R113" s="17">
        <f>J113-J114</f>
        <v/>
      </c>
      <c r="S113" s="17">
        <f>L113-L114</f>
        <v/>
      </c>
      <c r="T113" s="17">
        <f>N113-N114</f>
        <v/>
      </c>
      <c r="U113" s="17">
        <f>P113-P114</f>
        <v/>
      </c>
    </row>
    <row r="114">
      <c r="A114" s="15" t="n">
        <v>46132</v>
      </c>
      <c r="B114" s="16" t="n">
        <v>3.72</v>
      </c>
      <c r="C114" s="17">
        <f>(B114-B115)*100</f>
        <v/>
      </c>
      <c r="D114" s="16" t="n">
        <v>3.73</v>
      </c>
      <c r="E114" s="17">
        <f>(D114-D115)*100</f>
        <v/>
      </c>
      <c r="F114" s="16" t="n">
        <v>4.26</v>
      </c>
      <c r="G114" s="17">
        <f>(F114-F115)*100</f>
        <v/>
      </c>
      <c r="H114" s="16" t="n">
        <v>4.88</v>
      </c>
      <c r="I114" s="17">
        <f>(H114-H115)*100</f>
        <v/>
      </c>
      <c r="J114" s="17">
        <f>(F114-B114)*100</f>
        <v/>
      </c>
      <c r="K114" s="18">
        <f>(J114-$D$9)/$E$9</f>
        <v/>
      </c>
      <c r="L114" s="17">
        <f>(F114-D114)*100</f>
        <v/>
      </c>
      <c r="M114" s="18">
        <f>(L114-$D$10)/$E$10</f>
        <v/>
      </c>
      <c r="N114" s="17">
        <f>(H114-F114)*100</f>
        <v/>
      </c>
      <c r="O114" s="18">
        <f>(N114-$D$11)/$E$11</f>
        <v/>
      </c>
      <c r="P114" s="17">
        <f>(H114-B114)*100</f>
        <v/>
      </c>
      <c r="Q114" s="18">
        <f>(P114-$D$12)/$E$12</f>
        <v/>
      </c>
      <c r="R114" s="17">
        <f>J114-J115</f>
        <v/>
      </c>
      <c r="S114" s="17">
        <f>L114-L115</f>
        <v/>
      </c>
      <c r="T114" s="17">
        <f>N114-N115</f>
        <v/>
      </c>
      <c r="U114" s="17">
        <f>P114-P115</f>
        <v/>
      </c>
    </row>
    <row r="115">
      <c r="A115" s="15" t="n">
        <v>46129</v>
      </c>
      <c r="B115" s="16" t="n">
        <v>3.71</v>
      </c>
      <c r="C115" s="17">
        <f>(B115-B116)*100</f>
        <v/>
      </c>
      <c r="D115" s="16" t="n">
        <v>3.72</v>
      </c>
      <c r="E115" s="17">
        <f>(D115-D116)*100</f>
        <v/>
      </c>
      <c r="F115" s="16" t="n">
        <v>4.26</v>
      </c>
      <c r="G115" s="17">
        <f>(F115-F116)*100</f>
        <v/>
      </c>
      <c r="H115" s="16" t="n">
        <v>4.88</v>
      </c>
      <c r="I115" s="17">
        <f>(H115-H116)*100</f>
        <v/>
      </c>
      <c r="J115" s="17">
        <f>(F115-B115)*100</f>
        <v/>
      </c>
      <c r="K115" s="18">
        <f>(J115-$D$9)/$E$9</f>
        <v/>
      </c>
      <c r="L115" s="17">
        <f>(F115-D115)*100</f>
        <v/>
      </c>
      <c r="M115" s="18">
        <f>(L115-$D$10)/$E$10</f>
        <v/>
      </c>
      <c r="N115" s="17">
        <f>(H115-F115)*100</f>
        <v/>
      </c>
      <c r="O115" s="18">
        <f>(N115-$D$11)/$E$11</f>
        <v/>
      </c>
      <c r="P115" s="17">
        <f>(H115-B115)*100</f>
        <v/>
      </c>
      <c r="Q115" s="18">
        <f>(P115-$D$12)/$E$12</f>
        <v/>
      </c>
      <c r="R115" s="17">
        <f>J115-J116</f>
        <v/>
      </c>
      <c r="S115" s="17">
        <f>L115-L116</f>
        <v/>
      </c>
      <c r="T115" s="17">
        <f>N115-N116</f>
        <v/>
      </c>
      <c r="U115" s="17">
        <f>P115-P116</f>
        <v/>
      </c>
    </row>
    <row r="116">
      <c r="A116" s="15" t="n">
        <v>46128</v>
      </c>
      <c r="B116" s="16" t="n">
        <v>3.78</v>
      </c>
      <c r="C116" s="17">
        <f>(B116-B117)*100</f>
        <v/>
      </c>
      <c r="D116" s="16" t="n">
        <v>3.8</v>
      </c>
      <c r="E116" s="17">
        <f>(D116-D117)*100</f>
        <v/>
      </c>
      <c r="F116" s="16" t="n">
        <v>4.32</v>
      </c>
      <c r="G116" s="17">
        <f>(F116-F117)*100</f>
        <v/>
      </c>
      <c r="H116" s="16" t="n">
        <v>4.93</v>
      </c>
      <c r="I116" s="17">
        <f>(H116-H117)*100</f>
        <v/>
      </c>
      <c r="J116" s="17">
        <f>(F116-B116)*100</f>
        <v/>
      </c>
      <c r="K116" s="18">
        <f>(J116-$D$9)/$E$9</f>
        <v/>
      </c>
      <c r="L116" s="17">
        <f>(F116-D116)*100</f>
        <v/>
      </c>
      <c r="M116" s="18">
        <f>(L116-$D$10)/$E$10</f>
        <v/>
      </c>
      <c r="N116" s="17">
        <f>(H116-F116)*100</f>
        <v/>
      </c>
      <c r="O116" s="18">
        <f>(N116-$D$11)/$E$11</f>
        <v/>
      </c>
      <c r="P116" s="17">
        <f>(H116-B116)*100</f>
        <v/>
      </c>
      <c r="Q116" s="18">
        <f>(P116-$D$12)/$E$12</f>
        <v/>
      </c>
      <c r="R116" s="17">
        <f>J116-J117</f>
        <v/>
      </c>
      <c r="S116" s="17">
        <f>L116-L117</f>
        <v/>
      </c>
      <c r="T116" s="17">
        <f>N116-N117</f>
        <v/>
      </c>
      <c r="U116" s="17">
        <f>P116-P117</f>
        <v/>
      </c>
    </row>
    <row r="117">
      <c r="A117" s="15" t="n">
        <v>46127</v>
      </c>
      <c r="B117" s="16" t="n">
        <v>3.76</v>
      </c>
      <c r="C117" s="17">
        <f>(B117-B118)*100</f>
        <v/>
      </c>
      <c r="D117" s="16" t="n">
        <v>3.79</v>
      </c>
      <c r="E117" s="17">
        <f>(D117-D118)*100</f>
        <v/>
      </c>
      <c r="F117" s="16" t="n">
        <v>4.29</v>
      </c>
      <c r="G117" s="17">
        <f>(F117-F118)*100</f>
        <v/>
      </c>
      <c r="H117" s="16" t="n">
        <v>4.89</v>
      </c>
      <c r="I117" s="17">
        <f>(H117-H118)*100</f>
        <v/>
      </c>
      <c r="J117" s="17">
        <f>(F117-B117)*100</f>
        <v/>
      </c>
      <c r="K117" s="18">
        <f>(J117-$D$9)/$E$9</f>
        <v/>
      </c>
      <c r="L117" s="17">
        <f>(F117-D117)*100</f>
        <v/>
      </c>
      <c r="M117" s="18">
        <f>(L117-$D$10)/$E$10</f>
        <v/>
      </c>
      <c r="N117" s="17">
        <f>(H117-F117)*100</f>
        <v/>
      </c>
      <c r="O117" s="18">
        <f>(N117-$D$11)/$E$11</f>
        <v/>
      </c>
      <c r="P117" s="17">
        <f>(H117-B117)*100</f>
        <v/>
      </c>
      <c r="Q117" s="18">
        <f>(P117-$D$12)/$E$12</f>
        <v/>
      </c>
      <c r="R117" s="17">
        <f>J117-J118</f>
        <v/>
      </c>
      <c r="S117" s="17">
        <f>L117-L118</f>
        <v/>
      </c>
      <c r="T117" s="17">
        <f>N117-N118</f>
        <v/>
      </c>
      <c r="U117" s="17">
        <f>P117-P118</f>
        <v/>
      </c>
    </row>
    <row r="118">
      <c r="A118" s="15" t="n">
        <v>46126</v>
      </c>
      <c r="B118" s="16" t="n">
        <v>3.76</v>
      </c>
      <c r="C118" s="17">
        <f>(B118-B119)*100</f>
        <v/>
      </c>
      <c r="D118" s="16" t="n">
        <v>3.76</v>
      </c>
      <c r="E118" s="17">
        <f>(D118-D119)*100</f>
        <v/>
      </c>
      <c r="F118" s="16" t="n">
        <v>4.26</v>
      </c>
      <c r="G118" s="17">
        <f>(F118-F119)*100</f>
        <v/>
      </c>
      <c r="H118" s="16" t="n">
        <v>4.87</v>
      </c>
      <c r="I118" s="17">
        <f>(H118-H119)*100</f>
        <v/>
      </c>
      <c r="J118" s="17">
        <f>(F118-B118)*100</f>
        <v/>
      </c>
      <c r="K118" s="18">
        <f>(J118-$D$9)/$E$9</f>
        <v/>
      </c>
      <c r="L118" s="17">
        <f>(F118-D118)*100</f>
        <v/>
      </c>
      <c r="M118" s="18">
        <f>(L118-$D$10)/$E$10</f>
        <v/>
      </c>
      <c r="N118" s="17">
        <f>(H118-F118)*100</f>
        <v/>
      </c>
      <c r="O118" s="18">
        <f>(N118-$D$11)/$E$11</f>
        <v/>
      </c>
      <c r="P118" s="17">
        <f>(H118-B118)*100</f>
        <v/>
      </c>
      <c r="Q118" s="18">
        <f>(P118-$D$12)/$E$12</f>
        <v/>
      </c>
      <c r="R118" s="17">
        <f>J118-J119</f>
        <v/>
      </c>
      <c r="S118" s="17">
        <f>L118-L119</f>
        <v/>
      </c>
      <c r="T118" s="17">
        <f>N118-N119</f>
        <v/>
      </c>
      <c r="U118" s="17">
        <f>P118-P119</f>
        <v/>
      </c>
    </row>
    <row r="119">
      <c r="A119" s="15" t="n">
        <v>46125</v>
      </c>
      <c r="B119" s="16" t="n">
        <v>3.78</v>
      </c>
      <c r="C119" s="17">
        <f>(B119-B120)*100</f>
        <v/>
      </c>
      <c r="D119" s="16" t="n">
        <v>3.79</v>
      </c>
      <c r="E119" s="17">
        <f>(D119-D120)*100</f>
        <v/>
      </c>
      <c r="F119" s="16" t="n">
        <v>4.3</v>
      </c>
      <c r="G119" s="17">
        <f>(F119-F120)*100</f>
        <v/>
      </c>
      <c r="H119" s="16" t="n">
        <v>4.9</v>
      </c>
      <c r="I119" s="17">
        <f>(H119-H120)*100</f>
        <v/>
      </c>
      <c r="J119" s="17">
        <f>(F119-B119)*100</f>
        <v/>
      </c>
      <c r="K119" s="18">
        <f>(J119-$D$9)/$E$9</f>
        <v/>
      </c>
      <c r="L119" s="17">
        <f>(F119-D119)*100</f>
        <v/>
      </c>
      <c r="M119" s="18">
        <f>(L119-$D$10)/$E$10</f>
        <v/>
      </c>
      <c r="N119" s="17">
        <f>(H119-F119)*100</f>
        <v/>
      </c>
      <c r="O119" s="18">
        <f>(N119-$D$11)/$E$11</f>
        <v/>
      </c>
      <c r="P119" s="17">
        <f>(H119-B119)*100</f>
        <v/>
      </c>
      <c r="Q119" s="18">
        <f>(P119-$D$12)/$E$12</f>
        <v/>
      </c>
      <c r="R119" s="17">
        <f>J119-J120</f>
        <v/>
      </c>
      <c r="S119" s="17">
        <f>L119-L120</f>
        <v/>
      </c>
      <c r="T119" s="17">
        <f>N119-N120</f>
        <v/>
      </c>
      <c r="U119" s="17">
        <f>P119-P120</f>
        <v/>
      </c>
    </row>
    <row r="120">
      <c r="A120" s="15" t="n">
        <v>46122</v>
      </c>
      <c r="B120" s="16" t="n">
        <v>3.81</v>
      </c>
      <c r="C120" s="17">
        <f>(B120-B121)*100</f>
        <v/>
      </c>
      <c r="D120" s="16" t="n">
        <v>3.8</v>
      </c>
      <c r="E120" s="17">
        <f>(D120-D121)*100</f>
        <v/>
      </c>
      <c r="F120" s="16" t="n">
        <v>4.31</v>
      </c>
      <c r="G120" s="17">
        <f>(F120-F121)*100</f>
        <v/>
      </c>
      <c r="H120" s="16" t="n">
        <v>4.91</v>
      </c>
      <c r="I120" s="17">
        <f>(H120-H121)*100</f>
        <v/>
      </c>
      <c r="J120" s="17">
        <f>(F120-B120)*100</f>
        <v/>
      </c>
      <c r="K120" s="18">
        <f>(J120-$D$9)/$E$9</f>
        <v/>
      </c>
      <c r="L120" s="17">
        <f>(F120-D120)*100</f>
        <v/>
      </c>
      <c r="M120" s="18">
        <f>(L120-$D$10)/$E$10</f>
        <v/>
      </c>
      <c r="N120" s="17">
        <f>(H120-F120)*100</f>
        <v/>
      </c>
      <c r="O120" s="18">
        <f>(N120-$D$11)/$E$11</f>
        <v/>
      </c>
      <c r="P120" s="17">
        <f>(H120-B120)*100</f>
        <v/>
      </c>
      <c r="Q120" s="18">
        <f>(P120-$D$12)/$E$12</f>
        <v/>
      </c>
      <c r="R120" s="17">
        <f>J120-J121</f>
        <v/>
      </c>
      <c r="S120" s="17">
        <f>L120-L121</f>
        <v/>
      </c>
      <c r="T120" s="17">
        <f>N120-N121</f>
        <v/>
      </c>
      <c r="U120" s="17">
        <f>P120-P121</f>
        <v/>
      </c>
    </row>
    <row r="121">
      <c r="A121" s="15" t="n">
        <v>46121</v>
      </c>
      <c r="B121" s="16" t="n">
        <v>3.78</v>
      </c>
      <c r="C121" s="17">
        <f>(B121-B122)*100</f>
        <v/>
      </c>
      <c r="D121" s="16" t="n">
        <v>3.77</v>
      </c>
      <c r="E121" s="17">
        <f>(D121-D122)*100</f>
        <v/>
      </c>
      <c r="F121" s="16" t="n">
        <v>4.29</v>
      </c>
      <c r="G121" s="17">
        <f>(F121-F122)*100</f>
        <v/>
      </c>
      <c r="H121" s="16" t="n">
        <v>4.9</v>
      </c>
      <c r="I121" s="17">
        <f>(H121-H122)*100</f>
        <v/>
      </c>
      <c r="J121" s="17">
        <f>(F121-B121)*100</f>
        <v/>
      </c>
      <c r="K121" s="18">
        <f>(J121-$D$9)/$E$9</f>
        <v/>
      </c>
      <c r="L121" s="17">
        <f>(F121-D121)*100</f>
        <v/>
      </c>
      <c r="M121" s="18">
        <f>(L121-$D$10)/$E$10</f>
        <v/>
      </c>
      <c r="N121" s="17">
        <f>(H121-F121)*100</f>
        <v/>
      </c>
      <c r="O121" s="18">
        <f>(N121-$D$11)/$E$11</f>
        <v/>
      </c>
      <c r="P121" s="17">
        <f>(H121-B121)*100</f>
        <v/>
      </c>
      <c r="Q121" s="18">
        <f>(P121-$D$12)/$E$12</f>
        <v/>
      </c>
      <c r="R121" s="17">
        <f>J121-J122</f>
        <v/>
      </c>
      <c r="S121" s="17">
        <f>L121-L122</f>
        <v/>
      </c>
      <c r="T121" s="17">
        <f>N121-N122</f>
        <v/>
      </c>
      <c r="U121" s="17">
        <f>P121-P122</f>
        <v/>
      </c>
    </row>
    <row r="122">
      <c r="A122" s="15" t="n">
        <v>46120</v>
      </c>
      <c r="B122" s="16" t="n">
        <v>3.79</v>
      </c>
      <c r="C122" s="17">
        <f>(B122-B123)*100</f>
        <v/>
      </c>
      <c r="D122" s="16" t="n">
        <v>3.78</v>
      </c>
      <c r="E122" s="17">
        <f>(D122-D123)*100</f>
        <v/>
      </c>
      <c r="F122" s="16" t="n">
        <v>4.29</v>
      </c>
      <c r="G122" s="17">
        <f>(F122-F123)*100</f>
        <v/>
      </c>
      <c r="H122" s="16" t="n">
        <v>4.89</v>
      </c>
      <c r="I122" s="17">
        <f>(H122-H123)*100</f>
        <v/>
      </c>
      <c r="J122" s="17">
        <f>(F122-B122)*100</f>
        <v/>
      </c>
      <c r="K122" s="18">
        <f>(J122-$D$9)/$E$9</f>
        <v/>
      </c>
      <c r="L122" s="17">
        <f>(F122-D122)*100</f>
        <v/>
      </c>
      <c r="M122" s="18">
        <f>(L122-$D$10)/$E$10</f>
        <v/>
      </c>
      <c r="N122" s="17">
        <f>(H122-F122)*100</f>
        <v/>
      </c>
      <c r="O122" s="18">
        <f>(N122-$D$11)/$E$11</f>
        <v/>
      </c>
      <c r="P122" s="17">
        <f>(H122-B122)*100</f>
        <v/>
      </c>
      <c r="Q122" s="18">
        <f>(P122-$D$12)/$E$12</f>
        <v/>
      </c>
      <c r="R122" s="17">
        <f>J122-J123</f>
        <v/>
      </c>
      <c r="S122" s="17">
        <f>L122-L123</f>
        <v/>
      </c>
      <c r="T122" s="17">
        <f>N122-N123</f>
        <v/>
      </c>
      <c r="U122" s="17">
        <f>P122-P123</f>
        <v/>
      </c>
    </row>
    <row r="123">
      <c r="A123" s="15" t="n">
        <v>46119</v>
      </c>
      <c r="B123" s="16" t="n">
        <v>3.81</v>
      </c>
      <c r="C123" s="17">
        <f>(B123-B124)*100</f>
        <v/>
      </c>
      <c r="D123" s="16" t="n">
        <v>3.82</v>
      </c>
      <c r="E123" s="17">
        <f>(D123-D124)*100</f>
        <v/>
      </c>
      <c r="F123" s="16" t="n">
        <v>4.33</v>
      </c>
      <c r="G123" s="17">
        <f>(F123-F124)*100</f>
        <v/>
      </c>
      <c r="H123" s="16" t="n">
        <v>4.9</v>
      </c>
      <c r="I123" s="17">
        <f>(H123-H124)*100</f>
        <v/>
      </c>
      <c r="J123" s="17">
        <f>(F123-B123)*100</f>
        <v/>
      </c>
      <c r="K123" s="18">
        <f>(J123-$D$9)/$E$9</f>
        <v/>
      </c>
      <c r="L123" s="17">
        <f>(F123-D123)*100</f>
        <v/>
      </c>
      <c r="M123" s="18">
        <f>(L123-$D$10)/$E$10</f>
        <v/>
      </c>
      <c r="N123" s="17">
        <f>(H123-F123)*100</f>
        <v/>
      </c>
      <c r="O123" s="18">
        <f>(N123-$D$11)/$E$11</f>
        <v/>
      </c>
      <c r="P123" s="17">
        <f>(H123-B123)*100</f>
        <v/>
      </c>
      <c r="Q123" s="18">
        <f>(P123-$D$12)/$E$12</f>
        <v/>
      </c>
      <c r="R123" s="17">
        <f>J123-J124</f>
        <v/>
      </c>
      <c r="S123" s="17">
        <f>L123-L124</f>
        <v/>
      </c>
      <c r="T123" s="17">
        <f>N123-N124</f>
        <v/>
      </c>
      <c r="U123" s="17">
        <f>P123-P124</f>
        <v/>
      </c>
    </row>
    <row r="124">
      <c r="A124" s="15" t="n">
        <v>46118</v>
      </c>
      <c r="B124" s="16" t="n">
        <v>3.84</v>
      </c>
      <c r="C124" s="17">
        <f>(B124-B125)*100</f>
        <v/>
      </c>
      <c r="D124" s="16" t="n">
        <v>3.88</v>
      </c>
      <c r="E124" s="17">
        <f>(D124-D125)*100</f>
        <v/>
      </c>
      <c r="F124" s="16" t="n">
        <v>4.34</v>
      </c>
      <c r="G124" s="17">
        <f>(F124-F125)*100</f>
        <v/>
      </c>
      <c r="H124" s="16" t="n">
        <v>4.89</v>
      </c>
      <c r="I124" s="17">
        <f>(H124-H125)*100</f>
        <v/>
      </c>
      <c r="J124" s="17">
        <f>(F124-B124)*100</f>
        <v/>
      </c>
      <c r="K124" s="18">
        <f>(J124-$D$9)/$E$9</f>
        <v/>
      </c>
      <c r="L124" s="17">
        <f>(F124-D124)*100</f>
        <v/>
      </c>
      <c r="M124" s="18">
        <f>(L124-$D$10)/$E$10</f>
        <v/>
      </c>
      <c r="N124" s="17">
        <f>(H124-F124)*100</f>
        <v/>
      </c>
      <c r="O124" s="18">
        <f>(N124-$D$11)/$E$11</f>
        <v/>
      </c>
      <c r="P124" s="17">
        <f>(H124-B124)*100</f>
        <v/>
      </c>
      <c r="Q124" s="18">
        <f>(P124-$D$12)/$E$12</f>
        <v/>
      </c>
      <c r="R124" s="17">
        <f>J124-J125</f>
        <v/>
      </c>
      <c r="S124" s="17">
        <f>L124-L125</f>
        <v/>
      </c>
      <c r="T124" s="17">
        <f>N124-N125</f>
        <v/>
      </c>
      <c r="U124" s="17">
        <f>P124-P125</f>
        <v/>
      </c>
    </row>
    <row r="125">
      <c r="A125" s="15" t="n">
        <v>46115</v>
      </c>
      <c r="B125" s="16" t="n">
        <v>3.84</v>
      </c>
      <c r="C125" s="17">
        <f>(B125-B126)*100</f>
        <v/>
      </c>
      <c r="D125" s="16" t="n">
        <v>3.88</v>
      </c>
      <c r="E125" s="17">
        <f>(D125-D126)*100</f>
        <v/>
      </c>
      <c r="F125" s="16" t="n">
        <v>4.35</v>
      </c>
      <c r="G125" s="17">
        <f>(F125-F126)*100</f>
        <v/>
      </c>
      <c r="H125" s="16" t="n">
        <v>4.91</v>
      </c>
      <c r="I125" s="17">
        <f>(H125-H126)*100</f>
        <v/>
      </c>
      <c r="J125" s="17">
        <f>(F125-B125)*100</f>
        <v/>
      </c>
      <c r="K125" s="18">
        <f>(J125-$D$9)/$E$9</f>
        <v/>
      </c>
      <c r="L125" s="17">
        <f>(F125-D125)*100</f>
        <v/>
      </c>
      <c r="M125" s="18">
        <f>(L125-$D$10)/$E$10</f>
        <v/>
      </c>
      <c r="N125" s="17">
        <f>(H125-F125)*100</f>
        <v/>
      </c>
      <c r="O125" s="18">
        <f>(N125-$D$11)/$E$11</f>
        <v/>
      </c>
      <c r="P125" s="17">
        <f>(H125-B125)*100</f>
        <v/>
      </c>
      <c r="Q125" s="18">
        <f>(P125-$D$12)/$E$12</f>
        <v/>
      </c>
      <c r="R125" s="17">
        <f>J125-J126</f>
        <v/>
      </c>
      <c r="S125" s="17">
        <f>L125-L126</f>
        <v/>
      </c>
      <c r="T125" s="17">
        <f>N125-N126</f>
        <v/>
      </c>
      <c r="U125" s="17">
        <f>P125-P126</f>
        <v/>
      </c>
    </row>
    <row r="126">
      <c r="A126" s="15" t="n">
        <v>46114</v>
      </c>
      <c r="B126" s="16" t="n">
        <v>3.79</v>
      </c>
      <c r="C126" s="17">
        <f>(B126-B127)*100</f>
        <v/>
      </c>
      <c r="D126" s="16" t="n">
        <v>3.82</v>
      </c>
      <c r="E126" s="17">
        <f>(D126-D127)*100</f>
        <v/>
      </c>
      <c r="F126" s="16" t="n">
        <v>4.31</v>
      </c>
      <c r="G126" s="17">
        <f>(F126-F127)*100</f>
        <v/>
      </c>
      <c r="H126" s="16" t="n">
        <v>4.88</v>
      </c>
      <c r="I126" s="17">
        <f>(H126-H127)*100</f>
        <v/>
      </c>
      <c r="J126" s="17">
        <f>(F126-B126)*100</f>
        <v/>
      </c>
      <c r="K126" s="18">
        <f>(J126-$D$9)/$E$9</f>
        <v/>
      </c>
      <c r="L126" s="17">
        <f>(F126-D126)*100</f>
        <v/>
      </c>
      <c r="M126" s="18">
        <f>(L126-$D$10)/$E$10</f>
        <v/>
      </c>
      <c r="N126" s="17">
        <f>(H126-F126)*100</f>
        <v/>
      </c>
      <c r="O126" s="18">
        <f>(N126-$D$11)/$E$11</f>
        <v/>
      </c>
      <c r="P126" s="17">
        <f>(H126-B126)*100</f>
        <v/>
      </c>
      <c r="Q126" s="18">
        <f>(P126-$D$12)/$E$12</f>
        <v/>
      </c>
      <c r="R126" s="17">
        <f>J126-J127</f>
        <v/>
      </c>
      <c r="S126" s="17">
        <f>L126-L127</f>
        <v/>
      </c>
      <c r="T126" s="17">
        <f>N126-N127</f>
        <v/>
      </c>
      <c r="U126" s="17">
        <f>P126-P127</f>
        <v/>
      </c>
    </row>
    <row r="127">
      <c r="A127" s="15" t="n">
        <v>46113</v>
      </c>
      <c r="B127" s="16" t="n">
        <v>3.81</v>
      </c>
      <c r="C127" s="17">
        <f>(B127-B128)*100</f>
        <v/>
      </c>
      <c r="D127" s="16" t="n">
        <v>3.84</v>
      </c>
      <c r="E127" s="17">
        <f>(D127-D128)*100</f>
        <v/>
      </c>
      <c r="F127" s="16" t="n">
        <v>4.33</v>
      </c>
      <c r="G127" s="17">
        <f>(F127-F128)*100</f>
        <v/>
      </c>
      <c r="H127" s="16" t="n">
        <v>4.91</v>
      </c>
      <c r="I127" s="17">
        <f>(H127-H128)*100</f>
        <v/>
      </c>
      <c r="J127" s="17">
        <f>(F127-B127)*100</f>
        <v/>
      </c>
      <c r="K127" s="18">
        <f>(J127-$D$9)/$E$9</f>
        <v/>
      </c>
      <c r="L127" s="17">
        <f>(F127-D127)*100</f>
        <v/>
      </c>
      <c r="M127" s="18">
        <f>(L127-$D$10)/$E$10</f>
        <v/>
      </c>
      <c r="N127" s="17">
        <f>(H127-F127)*100</f>
        <v/>
      </c>
      <c r="O127" s="18">
        <f>(N127-$D$11)/$E$11</f>
        <v/>
      </c>
      <c r="P127" s="17">
        <f>(H127-B127)*100</f>
        <v/>
      </c>
      <c r="Q127" s="18">
        <f>(P127-$D$12)/$E$12</f>
        <v/>
      </c>
      <c r="R127" s="17">
        <f>J127-J128</f>
        <v/>
      </c>
      <c r="S127" s="17">
        <f>L127-L128</f>
        <v/>
      </c>
      <c r="T127" s="17">
        <f>N127-N128</f>
        <v/>
      </c>
      <c r="U127" s="17">
        <f>P127-P128</f>
        <v/>
      </c>
    </row>
    <row r="128">
      <c r="A128" s="15" t="n">
        <v>46112</v>
      </c>
      <c r="B128" s="16" t="n">
        <v>3.79</v>
      </c>
      <c r="C128" s="17">
        <f>(B128-B129)*100</f>
        <v/>
      </c>
      <c r="D128" s="16" t="n">
        <v>3.81</v>
      </c>
      <c r="E128" s="17">
        <f>(D128-D129)*100</f>
        <v/>
      </c>
      <c r="F128" s="16" t="n">
        <v>4.3</v>
      </c>
      <c r="G128" s="17">
        <f>(F128-F129)*100</f>
        <v/>
      </c>
      <c r="H128" s="16" t="n">
        <v>4.88</v>
      </c>
      <c r="I128" s="17">
        <f>(H128-H129)*100</f>
        <v/>
      </c>
      <c r="J128" s="17">
        <f>(F128-B128)*100</f>
        <v/>
      </c>
      <c r="K128" s="18">
        <f>(J128-$D$9)/$E$9</f>
        <v/>
      </c>
      <c r="L128" s="17">
        <f>(F128-D128)*100</f>
        <v/>
      </c>
      <c r="M128" s="18">
        <f>(L128-$D$10)/$E$10</f>
        <v/>
      </c>
      <c r="N128" s="17">
        <f>(H128-F128)*100</f>
        <v/>
      </c>
      <c r="O128" s="18">
        <f>(N128-$D$11)/$E$11</f>
        <v/>
      </c>
      <c r="P128" s="17">
        <f>(H128-B128)*100</f>
        <v/>
      </c>
      <c r="Q128" s="18">
        <f>(P128-$D$12)/$E$12</f>
        <v/>
      </c>
      <c r="R128" s="17">
        <f>J128-J129</f>
        <v/>
      </c>
      <c r="S128" s="17">
        <f>L128-L129</f>
        <v/>
      </c>
      <c r="T128" s="17">
        <f>N128-N129</f>
        <v/>
      </c>
      <c r="U128" s="17">
        <f>P128-P129</f>
        <v/>
      </c>
    </row>
    <row r="129">
      <c r="A129" s="15" t="n">
        <v>46111</v>
      </c>
      <c r="B129" s="16" t="n">
        <v>3.82</v>
      </c>
      <c r="C129" s="17">
        <f>(B129-B130)*100</f>
        <v/>
      </c>
      <c r="D129" s="16" t="n">
        <v>3.85</v>
      </c>
      <c r="E129" s="17">
        <f>(D129-D130)*100</f>
        <v/>
      </c>
      <c r="F129" s="16" t="n">
        <v>4.35</v>
      </c>
      <c r="G129" s="17">
        <f>(F129-F130)*100</f>
        <v/>
      </c>
      <c r="H129" s="16" t="n">
        <v>4.91</v>
      </c>
      <c r="I129" s="17">
        <f>(H129-H130)*100</f>
        <v/>
      </c>
      <c r="J129" s="17">
        <f>(F129-B129)*100</f>
        <v/>
      </c>
      <c r="K129" s="18">
        <f>(J129-$D$9)/$E$9</f>
        <v/>
      </c>
      <c r="L129" s="17">
        <f>(F129-D129)*100</f>
        <v/>
      </c>
      <c r="M129" s="18">
        <f>(L129-$D$10)/$E$10</f>
        <v/>
      </c>
      <c r="N129" s="17">
        <f>(H129-F129)*100</f>
        <v/>
      </c>
      <c r="O129" s="18">
        <f>(N129-$D$11)/$E$11</f>
        <v/>
      </c>
      <c r="P129" s="17">
        <f>(H129-B129)*100</f>
        <v/>
      </c>
      <c r="Q129" s="18">
        <f>(P129-$D$12)/$E$12</f>
        <v/>
      </c>
      <c r="R129" s="17">
        <f>J129-J130</f>
        <v/>
      </c>
      <c r="S129" s="17">
        <f>L129-L130</f>
        <v/>
      </c>
      <c r="T129" s="17">
        <f>N129-N130</f>
        <v/>
      </c>
      <c r="U129" s="17">
        <f>P129-P130</f>
        <v/>
      </c>
    </row>
    <row r="130">
      <c r="A130" s="15" t="n">
        <v>46108</v>
      </c>
      <c r="B130" s="16" t="n">
        <v>3.88</v>
      </c>
      <c r="C130" s="17">
        <f>(B130-B131)*100</f>
        <v/>
      </c>
      <c r="D130" s="16" t="n">
        <v>3.94</v>
      </c>
      <c r="E130" s="17">
        <f>(D130-D131)*100</f>
        <v/>
      </c>
      <c r="F130" s="16" t="n">
        <v>4.44</v>
      </c>
      <c r="G130" s="17">
        <f>(F130-F131)*100</f>
        <v/>
      </c>
      <c r="H130" s="16" t="n">
        <v>4.98</v>
      </c>
      <c r="I130" s="17">
        <f>(H130-H131)*100</f>
        <v/>
      </c>
      <c r="J130" s="17">
        <f>(F130-B130)*100</f>
        <v/>
      </c>
      <c r="K130" s="18">
        <f>(J130-$D$9)/$E$9</f>
        <v/>
      </c>
      <c r="L130" s="17">
        <f>(F130-D130)*100</f>
        <v/>
      </c>
      <c r="M130" s="18">
        <f>(L130-$D$10)/$E$10</f>
        <v/>
      </c>
      <c r="N130" s="17">
        <f>(H130-F130)*100</f>
        <v/>
      </c>
      <c r="O130" s="18">
        <f>(N130-$D$11)/$E$11</f>
        <v/>
      </c>
      <c r="P130" s="17">
        <f>(H130-B130)*100</f>
        <v/>
      </c>
      <c r="Q130" s="18">
        <f>(P130-$D$12)/$E$12</f>
        <v/>
      </c>
      <c r="R130" s="17">
        <f>J130-J131</f>
        <v/>
      </c>
      <c r="S130" s="17">
        <f>L130-L131</f>
        <v/>
      </c>
      <c r="T130" s="17">
        <f>N130-N131</f>
        <v/>
      </c>
      <c r="U130" s="17">
        <f>P130-P131</f>
        <v/>
      </c>
    </row>
    <row r="131">
      <c r="A131" s="15" t="n">
        <v>46107</v>
      </c>
      <c r="B131" s="16" t="n">
        <v>3.96</v>
      </c>
      <c r="C131" s="17">
        <f>(B131-B132)*100</f>
        <v/>
      </c>
      <c r="D131" s="16" t="n">
        <v>4</v>
      </c>
      <c r="E131" s="17">
        <f>(D131-D132)*100</f>
        <v/>
      </c>
      <c r="F131" s="16" t="n">
        <v>4.42</v>
      </c>
      <c r="G131" s="17">
        <f>(F131-F132)*100</f>
        <v/>
      </c>
      <c r="H131" s="16" t="n">
        <v>4.93</v>
      </c>
      <c r="I131" s="17">
        <f>(H131-H132)*100</f>
        <v/>
      </c>
      <c r="J131" s="17">
        <f>(F131-B131)*100</f>
        <v/>
      </c>
      <c r="K131" s="18">
        <f>(J131-$D$9)/$E$9</f>
        <v/>
      </c>
      <c r="L131" s="17">
        <f>(F131-D131)*100</f>
        <v/>
      </c>
      <c r="M131" s="18">
        <f>(L131-$D$10)/$E$10</f>
        <v/>
      </c>
      <c r="N131" s="17">
        <f>(H131-F131)*100</f>
        <v/>
      </c>
      <c r="O131" s="18">
        <f>(N131-$D$11)/$E$11</f>
        <v/>
      </c>
      <c r="P131" s="17">
        <f>(H131-B131)*100</f>
        <v/>
      </c>
      <c r="Q131" s="18">
        <f>(P131-$D$12)/$E$12</f>
        <v/>
      </c>
      <c r="R131" s="17">
        <f>J131-J132</f>
        <v/>
      </c>
      <c r="S131" s="17">
        <f>L131-L132</f>
        <v/>
      </c>
      <c r="T131" s="17">
        <f>N131-N132</f>
        <v/>
      </c>
      <c r="U131" s="17">
        <f>P131-P132</f>
        <v/>
      </c>
    </row>
    <row r="132">
      <c r="A132" s="15" t="n">
        <v>46106</v>
      </c>
      <c r="B132" s="16" t="n">
        <v>3.84</v>
      </c>
      <c r="C132" s="17">
        <f>(B132-B133)*100</f>
        <v/>
      </c>
      <c r="D132" s="16" t="n">
        <v>3.88</v>
      </c>
      <c r="E132" s="17">
        <f>(D132-D133)*100</f>
        <v/>
      </c>
      <c r="F132" s="16" t="n">
        <v>4.33</v>
      </c>
      <c r="G132" s="17">
        <f>(F132-F133)*100</f>
        <v/>
      </c>
      <c r="H132" s="16" t="n">
        <v>4.89</v>
      </c>
      <c r="I132" s="17">
        <f>(H132-H133)*100</f>
        <v/>
      </c>
      <c r="J132" s="17">
        <f>(F132-B132)*100</f>
        <v/>
      </c>
      <c r="K132" s="18">
        <f>(J132-$D$9)/$E$9</f>
        <v/>
      </c>
      <c r="L132" s="17">
        <f>(F132-D132)*100</f>
        <v/>
      </c>
      <c r="M132" s="18">
        <f>(L132-$D$10)/$E$10</f>
        <v/>
      </c>
      <c r="N132" s="17">
        <f>(H132-F132)*100</f>
        <v/>
      </c>
      <c r="O132" s="18">
        <f>(N132-$D$11)/$E$11</f>
        <v/>
      </c>
      <c r="P132" s="17">
        <f>(H132-B132)*100</f>
        <v/>
      </c>
      <c r="Q132" s="18">
        <f>(P132-$D$12)/$E$12</f>
        <v/>
      </c>
      <c r="R132" s="17">
        <f>J132-J133</f>
        <v/>
      </c>
      <c r="S132" s="17">
        <f>L132-L133</f>
        <v/>
      </c>
      <c r="T132" s="17">
        <f>N132-N133</f>
        <v/>
      </c>
      <c r="U132" s="17">
        <f>P132-P133</f>
        <v/>
      </c>
    </row>
    <row r="133">
      <c r="A133" s="15" t="n">
        <v>46105</v>
      </c>
      <c r="B133" s="16" t="n">
        <v>3.9</v>
      </c>
      <c r="C133" s="17">
        <f>(B133-B134)*100</f>
        <v/>
      </c>
      <c r="D133" s="16" t="n">
        <v>3.93</v>
      </c>
      <c r="E133" s="17">
        <f>(D133-D134)*100</f>
        <v/>
      </c>
      <c r="F133" s="16" t="n">
        <v>4.39</v>
      </c>
      <c r="G133" s="17">
        <f>(F133-F134)*100</f>
        <v/>
      </c>
      <c r="H133" s="16" t="n">
        <v>4.94</v>
      </c>
      <c r="I133" s="17">
        <f>(H133-H134)*100</f>
        <v/>
      </c>
      <c r="J133" s="17">
        <f>(F133-B133)*100</f>
        <v/>
      </c>
      <c r="K133" s="18">
        <f>(J133-$D$9)/$E$9</f>
        <v/>
      </c>
      <c r="L133" s="17">
        <f>(F133-D133)*100</f>
        <v/>
      </c>
      <c r="M133" s="18">
        <f>(L133-$D$10)/$E$10</f>
        <v/>
      </c>
      <c r="N133" s="17">
        <f>(H133-F133)*100</f>
        <v/>
      </c>
      <c r="O133" s="18">
        <f>(N133-$D$11)/$E$11</f>
        <v/>
      </c>
      <c r="P133" s="17">
        <f>(H133-B133)*100</f>
        <v/>
      </c>
      <c r="Q133" s="18">
        <f>(P133-$D$12)/$E$12</f>
        <v/>
      </c>
      <c r="R133" s="17">
        <f>J133-J134</f>
        <v/>
      </c>
      <c r="S133" s="17">
        <f>L133-L134</f>
        <v/>
      </c>
      <c r="T133" s="17">
        <f>N133-N134</f>
        <v/>
      </c>
      <c r="U133" s="17">
        <f>P133-P134</f>
        <v/>
      </c>
    </row>
    <row r="134">
      <c r="A134" s="15" t="n">
        <v>46104</v>
      </c>
      <c r="B134" s="16" t="n">
        <v>3.83</v>
      </c>
      <c r="C134" s="17">
        <f>(B134-B135)*100</f>
        <v/>
      </c>
      <c r="D134" s="16" t="n">
        <v>3.85</v>
      </c>
      <c r="E134" s="17">
        <f>(D134-D135)*100</f>
        <v/>
      </c>
      <c r="F134" s="16" t="n">
        <v>4.34</v>
      </c>
      <c r="G134" s="17">
        <f>(F134-F135)*100</f>
        <v/>
      </c>
      <c r="H134" s="16" t="n">
        <v>4.91</v>
      </c>
      <c r="I134" s="17">
        <f>(H134-H135)*100</f>
        <v/>
      </c>
      <c r="J134" s="17">
        <f>(F134-B134)*100</f>
        <v/>
      </c>
      <c r="K134" s="18">
        <f>(J134-$D$9)/$E$9</f>
        <v/>
      </c>
      <c r="L134" s="17">
        <f>(F134-D134)*100</f>
        <v/>
      </c>
      <c r="M134" s="18">
        <f>(L134-$D$10)/$E$10</f>
        <v/>
      </c>
      <c r="N134" s="17">
        <f>(H134-F134)*100</f>
        <v/>
      </c>
      <c r="O134" s="18">
        <f>(N134-$D$11)/$E$11</f>
        <v/>
      </c>
      <c r="P134" s="17">
        <f>(H134-B134)*100</f>
        <v/>
      </c>
      <c r="Q134" s="18">
        <f>(P134-$D$12)/$E$12</f>
        <v/>
      </c>
      <c r="R134" s="17">
        <f>J134-J135</f>
        <v/>
      </c>
      <c r="S134" s="17">
        <f>L134-L135</f>
        <v/>
      </c>
      <c r="T134" s="17">
        <f>N134-N135</f>
        <v/>
      </c>
      <c r="U134" s="17">
        <f>P134-P135</f>
        <v/>
      </c>
    </row>
    <row r="135">
      <c r="A135" s="15" t="n">
        <v>46101</v>
      </c>
      <c r="B135" s="16" t="n">
        <v>3.88</v>
      </c>
      <c r="C135" s="17">
        <f>(B135-B136)*100</f>
        <v/>
      </c>
      <c r="D135" s="16" t="n">
        <v>3.9</v>
      </c>
      <c r="E135" s="17">
        <f>(D135-D136)*100</f>
        <v/>
      </c>
      <c r="F135" s="16" t="n">
        <v>4.39</v>
      </c>
      <c r="G135" s="17">
        <f>(F135-F136)*100</f>
        <v/>
      </c>
      <c r="H135" s="16" t="n">
        <v>4.96</v>
      </c>
      <c r="I135" s="17">
        <f>(H135-H136)*100</f>
        <v/>
      </c>
      <c r="J135" s="17">
        <f>(F135-B135)*100</f>
        <v/>
      </c>
      <c r="K135" s="18">
        <f>(J135-$D$9)/$E$9</f>
        <v/>
      </c>
      <c r="L135" s="17">
        <f>(F135-D135)*100</f>
        <v/>
      </c>
      <c r="M135" s="18">
        <f>(L135-$D$10)/$E$10</f>
        <v/>
      </c>
      <c r="N135" s="17">
        <f>(H135-F135)*100</f>
        <v/>
      </c>
      <c r="O135" s="18">
        <f>(N135-$D$11)/$E$11</f>
        <v/>
      </c>
      <c r="P135" s="17">
        <f>(H135-B135)*100</f>
        <v/>
      </c>
      <c r="Q135" s="18">
        <f>(P135-$D$12)/$E$12</f>
        <v/>
      </c>
      <c r="R135" s="17">
        <f>J135-J136</f>
        <v/>
      </c>
      <c r="S135" s="17">
        <f>L135-L136</f>
        <v/>
      </c>
      <c r="T135" s="17">
        <f>N135-N136</f>
        <v/>
      </c>
      <c r="U135" s="17">
        <f>P135-P136</f>
        <v/>
      </c>
    </row>
    <row r="136">
      <c r="A136" s="15" t="n">
        <v>46100</v>
      </c>
      <c r="B136" s="16" t="n">
        <v>3.79</v>
      </c>
      <c r="C136" s="17">
        <f>(B136-B137)*100</f>
        <v/>
      </c>
      <c r="D136" s="16" t="n">
        <v>3.79</v>
      </c>
      <c r="E136" s="17">
        <f>(D136-D137)*100</f>
        <v/>
      </c>
      <c r="F136" s="16" t="n">
        <v>4.25</v>
      </c>
      <c r="G136" s="17">
        <f>(F136-F137)*100</f>
        <v/>
      </c>
      <c r="H136" s="16" t="n">
        <v>4.83</v>
      </c>
      <c r="I136" s="17">
        <f>(H136-H137)*100</f>
        <v/>
      </c>
      <c r="J136" s="17">
        <f>(F136-B136)*100</f>
        <v/>
      </c>
      <c r="K136" s="18">
        <f>(J136-$D$9)/$E$9</f>
        <v/>
      </c>
      <c r="L136" s="17">
        <f>(F136-D136)*100</f>
        <v/>
      </c>
      <c r="M136" s="18">
        <f>(L136-$D$10)/$E$10</f>
        <v/>
      </c>
      <c r="N136" s="17">
        <f>(H136-F136)*100</f>
        <v/>
      </c>
      <c r="O136" s="18">
        <f>(N136-$D$11)/$E$11</f>
        <v/>
      </c>
      <c r="P136" s="17">
        <f>(H136-B136)*100</f>
        <v/>
      </c>
      <c r="Q136" s="18">
        <f>(P136-$D$12)/$E$12</f>
        <v/>
      </c>
      <c r="R136" s="17">
        <f>J136-J137</f>
        <v/>
      </c>
      <c r="S136" s="17">
        <f>L136-L137</f>
        <v/>
      </c>
      <c r="T136" s="17">
        <f>N136-N137</f>
        <v/>
      </c>
      <c r="U136" s="17">
        <f>P136-P137</f>
        <v/>
      </c>
    </row>
    <row r="137">
      <c r="A137" s="15" t="n">
        <v>46099</v>
      </c>
      <c r="B137" s="16" t="n">
        <v>3.76</v>
      </c>
      <c r="C137" s="17">
        <f>(B137-B138)*100</f>
        <v/>
      </c>
      <c r="D137" s="16" t="n">
        <v>3.76</v>
      </c>
      <c r="E137" s="17">
        <f>(D137-D138)*100</f>
        <v/>
      </c>
      <c r="F137" s="16" t="n">
        <v>4.26</v>
      </c>
      <c r="G137" s="17">
        <f>(F137-F138)*100</f>
        <v/>
      </c>
      <c r="H137" s="16" t="n">
        <v>4.88</v>
      </c>
      <c r="I137" s="17">
        <f>(H137-H138)*100</f>
        <v/>
      </c>
      <c r="J137" s="17">
        <f>(F137-B137)*100</f>
        <v/>
      </c>
      <c r="K137" s="18">
        <f>(J137-$D$9)/$E$9</f>
        <v/>
      </c>
      <c r="L137" s="17">
        <f>(F137-D137)*100</f>
        <v/>
      </c>
      <c r="M137" s="18">
        <f>(L137-$D$10)/$E$10</f>
        <v/>
      </c>
      <c r="N137" s="17">
        <f>(H137-F137)*100</f>
        <v/>
      </c>
      <c r="O137" s="18">
        <f>(N137-$D$11)/$E$11</f>
        <v/>
      </c>
      <c r="P137" s="17">
        <f>(H137-B137)*100</f>
        <v/>
      </c>
      <c r="Q137" s="18">
        <f>(P137-$D$12)/$E$12</f>
        <v/>
      </c>
      <c r="R137" s="17">
        <f>J137-J138</f>
        <v/>
      </c>
      <c r="S137" s="17">
        <f>L137-L138</f>
        <v/>
      </c>
      <c r="T137" s="17">
        <f>N137-N138</f>
        <v/>
      </c>
      <c r="U137" s="17">
        <f>P137-P138</f>
        <v/>
      </c>
    </row>
    <row r="138">
      <c r="A138" s="15" t="n">
        <v>46098</v>
      </c>
      <c r="B138" s="16" t="n">
        <v>3.68</v>
      </c>
      <c r="C138" s="17">
        <f>(B138-B139)*100</f>
        <v/>
      </c>
      <c r="D138" s="16" t="n">
        <v>3.68</v>
      </c>
      <c r="E138" s="17">
        <f>(D138-D139)*100</f>
        <v/>
      </c>
      <c r="F138" s="16" t="n">
        <v>4.2</v>
      </c>
      <c r="G138" s="17">
        <f>(F138-F139)*100</f>
        <v/>
      </c>
      <c r="H138" s="16" t="n">
        <v>4.85</v>
      </c>
      <c r="I138" s="17">
        <f>(H138-H139)*100</f>
        <v/>
      </c>
      <c r="J138" s="17">
        <f>(F138-B138)*100</f>
        <v/>
      </c>
      <c r="K138" s="18">
        <f>(J138-$D$9)/$E$9</f>
        <v/>
      </c>
      <c r="L138" s="17">
        <f>(F138-D138)*100</f>
        <v/>
      </c>
      <c r="M138" s="18">
        <f>(L138-$D$10)/$E$10</f>
        <v/>
      </c>
      <c r="N138" s="17">
        <f>(H138-F138)*100</f>
        <v/>
      </c>
      <c r="O138" s="18">
        <f>(N138-$D$11)/$E$11</f>
        <v/>
      </c>
      <c r="P138" s="17">
        <f>(H138-B138)*100</f>
        <v/>
      </c>
      <c r="Q138" s="18">
        <f>(P138-$D$12)/$E$12</f>
        <v/>
      </c>
      <c r="R138" s="17">
        <f>J138-J139</f>
        <v/>
      </c>
      <c r="S138" s="17">
        <f>L138-L139</f>
        <v/>
      </c>
      <c r="T138" s="17">
        <f>N138-N139</f>
        <v/>
      </c>
      <c r="U138" s="17">
        <f>P138-P139</f>
        <v/>
      </c>
    </row>
    <row r="139">
      <c r="A139" s="15" t="n">
        <v>46097</v>
      </c>
      <c r="B139" s="16" t="n">
        <v>3.68</v>
      </c>
      <c r="C139" s="17">
        <f>(B139-B140)*100</f>
        <v/>
      </c>
      <c r="D139" s="16" t="n">
        <v>3.69</v>
      </c>
      <c r="E139" s="17">
        <f>(D139-D140)*100</f>
        <v/>
      </c>
      <c r="F139" s="16" t="n">
        <v>4.23</v>
      </c>
      <c r="G139" s="17">
        <f>(F139-F140)*100</f>
        <v/>
      </c>
      <c r="H139" s="16" t="n">
        <v>4.86</v>
      </c>
      <c r="I139" s="17">
        <f>(H139-H140)*100</f>
        <v/>
      </c>
      <c r="J139" s="17">
        <f>(F139-B139)*100</f>
        <v/>
      </c>
      <c r="K139" s="18">
        <f>(J139-$D$9)/$E$9</f>
        <v/>
      </c>
      <c r="L139" s="17">
        <f>(F139-D139)*100</f>
        <v/>
      </c>
      <c r="M139" s="18">
        <f>(L139-$D$10)/$E$10</f>
        <v/>
      </c>
      <c r="N139" s="17">
        <f>(H139-F139)*100</f>
        <v/>
      </c>
      <c r="O139" s="18">
        <f>(N139-$D$11)/$E$11</f>
        <v/>
      </c>
      <c r="P139" s="17">
        <f>(H139-B139)*100</f>
        <v/>
      </c>
      <c r="Q139" s="18">
        <f>(P139-$D$12)/$E$12</f>
        <v/>
      </c>
      <c r="R139" s="17">
        <f>J139-J140</f>
        <v/>
      </c>
      <c r="S139" s="17">
        <f>L139-L140</f>
        <v/>
      </c>
      <c r="T139" s="17">
        <f>N139-N140</f>
        <v/>
      </c>
      <c r="U139" s="17">
        <f>P139-P140</f>
        <v/>
      </c>
    </row>
    <row r="140">
      <c r="A140" s="15" t="n">
        <v>46094</v>
      </c>
      <c r="B140" s="16" t="n">
        <v>3.73</v>
      </c>
      <c r="C140" s="17">
        <f>(B140-B141)*100</f>
        <v/>
      </c>
      <c r="D140" s="16" t="n">
        <v>3.74</v>
      </c>
      <c r="E140" s="17">
        <f>(D140-D141)*100</f>
        <v/>
      </c>
      <c r="F140" s="16" t="n">
        <v>4.28</v>
      </c>
      <c r="G140" s="17">
        <f>(F140-F141)*100</f>
        <v/>
      </c>
      <c r="H140" s="16" t="n">
        <v>4.9</v>
      </c>
      <c r="I140" s="17">
        <f>(H140-H141)*100</f>
        <v/>
      </c>
      <c r="J140" s="17">
        <f>(F140-B140)*100</f>
        <v/>
      </c>
      <c r="K140" s="18">
        <f>(J140-$D$9)/$E$9</f>
        <v/>
      </c>
      <c r="L140" s="17">
        <f>(F140-D140)*100</f>
        <v/>
      </c>
      <c r="M140" s="18">
        <f>(L140-$D$10)/$E$10</f>
        <v/>
      </c>
      <c r="N140" s="17">
        <f>(H140-F140)*100</f>
        <v/>
      </c>
      <c r="O140" s="18">
        <f>(N140-$D$11)/$E$11</f>
        <v/>
      </c>
      <c r="P140" s="17">
        <f>(H140-B140)*100</f>
        <v/>
      </c>
      <c r="Q140" s="18">
        <f>(P140-$D$12)/$E$12</f>
        <v/>
      </c>
      <c r="R140" s="17">
        <f>J140-J141</f>
        <v/>
      </c>
      <c r="S140" s="17">
        <f>L140-L141</f>
        <v/>
      </c>
      <c r="T140" s="17">
        <f>N140-N141</f>
        <v/>
      </c>
      <c r="U140" s="17">
        <f>P140-P141</f>
        <v/>
      </c>
    </row>
    <row r="141">
      <c r="A141" s="15" t="n">
        <v>46093</v>
      </c>
      <c r="B141" s="16" t="n">
        <v>3.76</v>
      </c>
      <c r="C141" s="17">
        <f>(B141-B142)*100</f>
        <v/>
      </c>
      <c r="D141" s="16" t="n">
        <v>3.75</v>
      </c>
      <c r="E141" s="17">
        <f>(D141-D142)*100</f>
        <v/>
      </c>
      <c r="F141" s="16" t="n">
        <v>4.27</v>
      </c>
      <c r="G141" s="17">
        <f>(F141-F142)*100</f>
        <v/>
      </c>
      <c r="H141" s="16" t="n">
        <v>4.88</v>
      </c>
      <c r="I141" s="17">
        <f>(H141-H142)*100</f>
        <v/>
      </c>
      <c r="J141" s="17">
        <f>(F141-B141)*100</f>
        <v/>
      </c>
      <c r="K141" s="18">
        <f>(J141-$D$9)/$E$9</f>
        <v/>
      </c>
      <c r="L141" s="17">
        <f>(F141-D141)*100</f>
        <v/>
      </c>
      <c r="M141" s="18">
        <f>(L141-$D$10)/$E$10</f>
        <v/>
      </c>
      <c r="N141" s="17">
        <f>(H141-F141)*100</f>
        <v/>
      </c>
      <c r="O141" s="18">
        <f>(N141-$D$11)/$E$11</f>
        <v/>
      </c>
      <c r="P141" s="17">
        <f>(H141-B141)*100</f>
        <v/>
      </c>
      <c r="Q141" s="18">
        <f>(P141-$D$12)/$E$12</f>
        <v/>
      </c>
      <c r="R141" s="17">
        <f>J141-J142</f>
        <v/>
      </c>
      <c r="S141" s="17">
        <f>L141-L142</f>
        <v/>
      </c>
      <c r="T141" s="17">
        <f>N141-N142</f>
        <v/>
      </c>
      <c r="U141" s="17">
        <f>P141-P142</f>
        <v/>
      </c>
    </row>
    <row r="142">
      <c r="A142" s="15" t="n">
        <v>46092</v>
      </c>
      <c r="B142" s="16" t="n">
        <v>3.64</v>
      </c>
      <c r="C142" s="17">
        <f>(B142-B143)*100</f>
        <v/>
      </c>
      <c r="D142" s="16" t="n">
        <v>3.64</v>
      </c>
      <c r="E142" s="17">
        <f>(D142-D143)*100</f>
        <v/>
      </c>
      <c r="F142" s="16" t="n">
        <v>4.21</v>
      </c>
      <c r="G142" s="17">
        <f>(F142-F143)*100</f>
        <v/>
      </c>
      <c r="H142" s="16" t="n">
        <v>4.86</v>
      </c>
      <c r="I142" s="17">
        <f>(H142-H143)*100</f>
        <v/>
      </c>
      <c r="J142" s="17">
        <f>(F142-B142)*100</f>
        <v/>
      </c>
      <c r="K142" s="18">
        <f>(J142-$D$9)/$E$9</f>
        <v/>
      </c>
      <c r="L142" s="17">
        <f>(F142-D142)*100</f>
        <v/>
      </c>
      <c r="M142" s="18">
        <f>(L142-$D$10)/$E$10</f>
        <v/>
      </c>
      <c r="N142" s="17">
        <f>(H142-F142)*100</f>
        <v/>
      </c>
      <c r="O142" s="18">
        <f>(N142-$D$11)/$E$11</f>
        <v/>
      </c>
      <c r="P142" s="17">
        <f>(H142-B142)*100</f>
        <v/>
      </c>
      <c r="Q142" s="18">
        <f>(P142-$D$12)/$E$12</f>
        <v/>
      </c>
      <c r="R142" s="17">
        <f>J142-J143</f>
        <v/>
      </c>
      <c r="S142" s="17">
        <f>L142-L143</f>
        <v/>
      </c>
      <c r="T142" s="17">
        <f>N142-N143</f>
        <v/>
      </c>
      <c r="U142" s="17">
        <f>P142-P143</f>
        <v/>
      </c>
    </row>
    <row r="143">
      <c r="A143" s="15" t="n">
        <v>46091</v>
      </c>
      <c r="B143" s="16" t="n">
        <v>3.57</v>
      </c>
      <c r="C143" s="17">
        <f>(B143-B144)*100</f>
        <v/>
      </c>
      <c r="D143" s="16" t="n">
        <v>3.58</v>
      </c>
      <c r="E143" s="17">
        <f>(D143-D144)*100</f>
        <v/>
      </c>
      <c r="F143" s="16" t="n">
        <v>4.15</v>
      </c>
      <c r="G143" s="17">
        <f>(F143-F144)*100</f>
        <v/>
      </c>
      <c r="H143" s="16" t="n">
        <v>4.78</v>
      </c>
      <c r="I143" s="17">
        <f>(H143-H144)*100</f>
        <v/>
      </c>
      <c r="J143" s="17">
        <f>(F143-B143)*100</f>
        <v/>
      </c>
      <c r="K143" s="18">
        <f>(J143-$D$9)/$E$9</f>
        <v/>
      </c>
      <c r="L143" s="17">
        <f>(F143-D143)*100</f>
        <v/>
      </c>
      <c r="M143" s="18">
        <f>(L143-$D$10)/$E$10</f>
        <v/>
      </c>
      <c r="N143" s="17">
        <f>(H143-F143)*100</f>
        <v/>
      </c>
      <c r="O143" s="18">
        <f>(N143-$D$11)/$E$11</f>
        <v/>
      </c>
      <c r="P143" s="17">
        <f>(H143-B143)*100</f>
        <v/>
      </c>
      <c r="Q143" s="18">
        <f>(P143-$D$12)/$E$12</f>
        <v/>
      </c>
      <c r="R143" s="17">
        <f>J143-J144</f>
        <v/>
      </c>
      <c r="S143" s="17">
        <f>L143-L144</f>
        <v/>
      </c>
      <c r="T143" s="17">
        <f>N143-N144</f>
        <v/>
      </c>
      <c r="U143" s="17">
        <f>P143-P144</f>
        <v/>
      </c>
    </row>
    <row r="144">
      <c r="A144" s="15" t="n">
        <v>46090</v>
      </c>
      <c r="B144" s="16" t="n">
        <v>3.56</v>
      </c>
      <c r="C144" s="17">
        <f>(B144-B145)*100</f>
        <v/>
      </c>
      <c r="D144" s="16" t="n">
        <v>3.58</v>
      </c>
      <c r="E144" s="17">
        <f>(D144-D145)*100</f>
        <v/>
      </c>
      <c r="F144" s="16" t="n">
        <v>4.12</v>
      </c>
      <c r="G144" s="17">
        <f>(F144-F145)*100</f>
        <v/>
      </c>
      <c r="H144" s="16" t="n">
        <v>4.72</v>
      </c>
      <c r="I144" s="17">
        <f>(H144-H145)*100</f>
        <v/>
      </c>
      <c r="J144" s="17">
        <f>(F144-B144)*100</f>
        <v/>
      </c>
      <c r="K144" s="18">
        <f>(J144-$D$9)/$E$9</f>
        <v/>
      </c>
      <c r="L144" s="17">
        <f>(F144-D144)*100</f>
        <v/>
      </c>
      <c r="M144" s="18">
        <f>(L144-$D$10)/$E$10</f>
        <v/>
      </c>
      <c r="N144" s="17">
        <f>(H144-F144)*100</f>
        <v/>
      </c>
      <c r="O144" s="18">
        <f>(N144-$D$11)/$E$11</f>
        <v/>
      </c>
      <c r="P144" s="17">
        <f>(H144-B144)*100</f>
        <v/>
      </c>
      <c r="Q144" s="18">
        <f>(P144-$D$12)/$E$12</f>
        <v/>
      </c>
      <c r="R144" s="17">
        <f>J144-J145</f>
        <v/>
      </c>
      <c r="S144" s="17">
        <f>L144-L145</f>
        <v/>
      </c>
      <c r="T144" s="17">
        <f>N144-N145</f>
        <v/>
      </c>
      <c r="U144" s="17">
        <f>P144-P145</f>
        <v/>
      </c>
    </row>
    <row r="145">
      <c r="A145" s="15" t="n">
        <v>46087</v>
      </c>
      <c r="B145" s="16" t="n">
        <v>3.56</v>
      </c>
      <c r="C145" s="17">
        <f>(B145-B146)*100</f>
        <v/>
      </c>
      <c r="D145" s="16" t="n">
        <v>3.59</v>
      </c>
      <c r="E145" s="17">
        <f>(D145-D146)*100</f>
        <v/>
      </c>
      <c r="F145" s="16" t="n">
        <v>4.15</v>
      </c>
      <c r="G145" s="17">
        <f>(F145-F146)*100</f>
        <v/>
      </c>
      <c r="H145" s="16" t="n">
        <v>4.77</v>
      </c>
      <c r="I145" s="17">
        <f>(H145-H146)*100</f>
        <v/>
      </c>
      <c r="J145" s="17">
        <f>(F145-B145)*100</f>
        <v/>
      </c>
      <c r="K145" s="18">
        <f>(J145-$D$9)/$E$9</f>
        <v/>
      </c>
      <c r="L145" s="17">
        <f>(F145-D145)*100</f>
        <v/>
      </c>
      <c r="M145" s="18">
        <f>(L145-$D$10)/$E$10</f>
        <v/>
      </c>
      <c r="N145" s="17">
        <f>(H145-F145)*100</f>
        <v/>
      </c>
      <c r="O145" s="18">
        <f>(N145-$D$11)/$E$11</f>
        <v/>
      </c>
      <c r="P145" s="17">
        <f>(H145-B145)*100</f>
        <v/>
      </c>
      <c r="Q145" s="18">
        <f>(P145-$D$12)/$E$12</f>
        <v/>
      </c>
      <c r="R145" s="17">
        <f>J145-J146</f>
        <v/>
      </c>
      <c r="S145" s="17">
        <f>L145-L146</f>
        <v/>
      </c>
      <c r="T145" s="17">
        <f>N145-N146</f>
        <v/>
      </c>
      <c r="U145" s="17">
        <f>P145-P146</f>
        <v/>
      </c>
    </row>
    <row r="146">
      <c r="A146" s="15" t="n">
        <v>46086</v>
      </c>
      <c r="B146" s="16" t="n">
        <v>3.57</v>
      </c>
      <c r="C146" s="17">
        <f>(B146-B147)*100</f>
        <v/>
      </c>
      <c r="D146" s="16" t="n">
        <v>3.59</v>
      </c>
      <c r="E146" s="17">
        <f>(D146-D147)*100</f>
        <v/>
      </c>
      <c r="F146" s="16" t="n">
        <v>4.13</v>
      </c>
      <c r="G146" s="17">
        <f>(F146-F147)*100</f>
        <v/>
      </c>
      <c r="H146" s="16" t="n">
        <v>4.74</v>
      </c>
      <c r="I146" s="17">
        <f>(H146-H147)*100</f>
        <v/>
      </c>
      <c r="J146" s="17">
        <f>(F146-B146)*100</f>
        <v/>
      </c>
      <c r="K146" s="18">
        <f>(J146-$D$9)/$E$9</f>
        <v/>
      </c>
      <c r="L146" s="17">
        <f>(F146-D146)*100</f>
        <v/>
      </c>
      <c r="M146" s="18">
        <f>(L146-$D$10)/$E$10</f>
        <v/>
      </c>
      <c r="N146" s="17">
        <f>(H146-F146)*100</f>
        <v/>
      </c>
      <c r="O146" s="18">
        <f>(N146-$D$11)/$E$11</f>
        <v/>
      </c>
      <c r="P146" s="17">
        <f>(H146-B146)*100</f>
        <v/>
      </c>
      <c r="Q146" s="18">
        <f>(P146-$D$12)/$E$12</f>
        <v/>
      </c>
      <c r="R146" s="17">
        <f>J146-J147</f>
        <v/>
      </c>
      <c r="S146" s="17">
        <f>L146-L147</f>
        <v/>
      </c>
      <c r="T146" s="17">
        <f>N146-N147</f>
        <v/>
      </c>
      <c r="U146" s="17">
        <f>P146-P147</f>
        <v/>
      </c>
    </row>
    <row r="147">
      <c r="A147" s="15" t="n">
        <v>46085</v>
      </c>
      <c r="B147" s="16" t="n">
        <v>3.54</v>
      </c>
      <c r="C147" s="17">
        <f>(B147-B148)*100</f>
        <v/>
      </c>
      <c r="D147" s="16" t="n">
        <v>3.55</v>
      </c>
      <c r="E147" s="17">
        <f>(D147-D148)*100</f>
        <v/>
      </c>
      <c r="F147" s="16" t="n">
        <v>4.09</v>
      </c>
      <c r="G147" s="17">
        <f>(F147-F148)*100</f>
        <v/>
      </c>
      <c r="H147" s="16" t="n">
        <v>4.72</v>
      </c>
      <c r="I147" s="17">
        <f>(H147-H148)*100</f>
        <v/>
      </c>
      <c r="J147" s="17">
        <f>(F147-B147)*100</f>
        <v/>
      </c>
      <c r="K147" s="18">
        <f>(J147-$D$9)/$E$9</f>
        <v/>
      </c>
      <c r="L147" s="17">
        <f>(F147-D147)*100</f>
        <v/>
      </c>
      <c r="M147" s="18">
        <f>(L147-$D$10)/$E$10</f>
        <v/>
      </c>
      <c r="N147" s="17">
        <f>(H147-F147)*100</f>
        <v/>
      </c>
      <c r="O147" s="18">
        <f>(N147-$D$11)/$E$11</f>
        <v/>
      </c>
      <c r="P147" s="17">
        <f>(H147-B147)*100</f>
        <v/>
      </c>
      <c r="Q147" s="18">
        <f>(P147-$D$12)/$E$12</f>
        <v/>
      </c>
      <c r="R147" s="17">
        <f>J147-J148</f>
        <v/>
      </c>
      <c r="S147" s="17">
        <f>L147-L148</f>
        <v/>
      </c>
      <c r="T147" s="17">
        <f>N147-N148</f>
        <v/>
      </c>
      <c r="U147" s="17">
        <f>P147-P148</f>
        <v/>
      </c>
    </row>
    <row r="148">
      <c r="A148" s="15" t="n">
        <v>46084</v>
      </c>
      <c r="B148" s="16" t="n">
        <v>3.51</v>
      </c>
      <c r="C148" s="17">
        <f>(B148-B149)*100</f>
        <v/>
      </c>
      <c r="D148" s="16" t="n">
        <v>3.5</v>
      </c>
      <c r="E148" s="17">
        <f>(D148-D149)*100</f>
        <v/>
      </c>
      <c r="F148" s="16" t="n">
        <v>4.06</v>
      </c>
      <c r="G148" s="17">
        <f>(F148-F149)*100</f>
        <v/>
      </c>
      <c r="H148" s="16" t="n">
        <v>4.7</v>
      </c>
      <c r="I148" s="17">
        <f>(H148-H149)*100</f>
        <v/>
      </c>
      <c r="J148" s="17">
        <f>(F148-B148)*100</f>
        <v/>
      </c>
      <c r="K148" s="18">
        <f>(J148-$D$9)/$E$9</f>
        <v/>
      </c>
      <c r="L148" s="17">
        <f>(F148-D148)*100</f>
        <v/>
      </c>
      <c r="M148" s="18">
        <f>(L148-$D$10)/$E$10</f>
        <v/>
      </c>
      <c r="N148" s="17">
        <f>(H148-F148)*100</f>
        <v/>
      </c>
      <c r="O148" s="18">
        <f>(N148-$D$11)/$E$11</f>
        <v/>
      </c>
      <c r="P148" s="17">
        <f>(H148-B148)*100</f>
        <v/>
      </c>
      <c r="Q148" s="18">
        <f>(P148-$D$12)/$E$12</f>
        <v/>
      </c>
      <c r="R148" s="17">
        <f>J148-J149</f>
        <v/>
      </c>
      <c r="S148" s="17">
        <f>L148-L149</f>
        <v/>
      </c>
      <c r="T148" s="17">
        <f>N148-N149</f>
        <v/>
      </c>
      <c r="U148" s="17">
        <f>P148-P149</f>
        <v/>
      </c>
    </row>
    <row r="149">
      <c r="A149" s="15" t="n">
        <v>46083</v>
      </c>
      <c r="B149" s="16" t="n">
        <v>3.47</v>
      </c>
      <c r="C149" s="17">
        <f>(B149-B150)*100</f>
        <v/>
      </c>
      <c r="D149" s="16" t="n">
        <v>3.49</v>
      </c>
      <c r="E149" s="17">
        <f>(D149-D150)*100</f>
        <v/>
      </c>
      <c r="F149" s="16" t="n">
        <v>4.05</v>
      </c>
      <c r="G149" s="17">
        <f>(F149-F150)*100</f>
        <v/>
      </c>
      <c r="H149" s="16" t="n">
        <v>4.7</v>
      </c>
      <c r="I149" s="17">
        <f>(H149-H150)*100</f>
        <v/>
      </c>
      <c r="J149" s="17">
        <f>(F149-B149)*100</f>
        <v/>
      </c>
      <c r="K149" s="18">
        <f>(J149-$D$9)/$E$9</f>
        <v/>
      </c>
      <c r="L149" s="17">
        <f>(F149-D149)*100</f>
        <v/>
      </c>
      <c r="M149" s="18">
        <f>(L149-$D$10)/$E$10</f>
        <v/>
      </c>
      <c r="N149" s="17">
        <f>(H149-F149)*100</f>
        <v/>
      </c>
      <c r="O149" s="18">
        <f>(N149-$D$11)/$E$11</f>
        <v/>
      </c>
      <c r="P149" s="17">
        <f>(H149-B149)*100</f>
        <v/>
      </c>
      <c r="Q149" s="18">
        <f>(P149-$D$12)/$E$12</f>
        <v/>
      </c>
      <c r="R149" s="17">
        <f>J149-J150</f>
        <v/>
      </c>
      <c r="S149" s="17">
        <f>L149-L150</f>
        <v/>
      </c>
      <c r="T149" s="17">
        <f>N149-N150</f>
        <v/>
      </c>
      <c r="U149" s="17">
        <f>P149-P150</f>
        <v/>
      </c>
    </row>
    <row r="150">
      <c r="A150" s="15" t="n">
        <v>46080</v>
      </c>
      <c r="B150" s="16" t="n">
        <v>3.38</v>
      </c>
      <c r="C150" s="17">
        <f>(B150-B151)*100</f>
        <v/>
      </c>
      <c r="D150" s="16" t="n">
        <v>3.39</v>
      </c>
      <c r="E150" s="17">
        <f>(D150-D151)*100</f>
        <v/>
      </c>
      <c r="F150" s="16" t="n">
        <v>3.97</v>
      </c>
      <c r="G150" s="17">
        <f>(F150-F151)*100</f>
        <v/>
      </c>
      <c r="H150" s="16" t="n">
        <v>4.64</v>
      </c>
      <c r="I150" s="17">
        <f>(H150-H151)*100</f>
        <v/>
      </c>
      <c r="J150" s="17">
        <f>(F150-B150)*100</f>
        <v/>
      </c>
      <c r="K150" s="18">
        <f>(J150-$D$9)/$E$9</f>
        <v/>
      </c>
      <c r="L150" s="17">
        <f>(F150-D150)*100</f>
        <v/>
      </c>
      <c r="M150" s="18">
        <f>(L150-$D$10)/$E$10</f>
        <v/>
      </c>
      <c r="N150" s="17">
        <f>(H150-F150)*100</f>
        <v/>
      </c>
      <c r="O150" s="18">
        <f>(N150-$D$11)/$E$11</f>
        <v/>
      </c>
      <c r="P150" s="17">
        <f>(H150-B150)*100</f>
        <v/>
      </c>
      <c r="Q150" s="18">
        <f>(P150-$D$12)/$E$12</f>
        <v/>
      </c>
      <c r="R150" s="17">
        <f>J150-J151</f>
        <v/>
      </c>
      <c r="S150" s="17">
        <f>L150-L151</f>
        <v/>
      </c>
      <c r="T150" s="17">
        <f>N150-N151</f>
        <v/>
      </c>
      <c r="U150" s="17">
        <f>P150-P151</f>
        <v/>
      </c>
    </row>
    <row r="151">
      <c r="A151" s="15" t="n">
        <v>46079</v>
      </c>
      <c r="B151" s="16" t="n">
        <v>3.42</v>
      </c>
      <c r="C151" s="17">
        <f>(B151-B152)*100</f>
        <v/>
      </c>
      <c r="D151" s="16" t="n">
        <v>3.46</v>
      </c>
      <c r="E151" s="17">
        <f>(D151-D152)*100</f>
        <v/>
      </c>
      <c r="F151" s="16" t="n">
        <v>4.02</v>
      </c>
      <c r="G151" s="17">
        <f>(F151-F152)*100</f>
        <v/>
      </c>
      <c r="H151" s="16" t="n">
        <v>4.67</v>
      </c>
      <c r="I151" s="17">
        <f>(H151-H152)*100</f>
        <v/>
      </c>
      <c r="J151" s="17">
        <f>(F151-B151)*100</f>
        <v/>
      </c>
      <c r="K151" s="18">
        <f>(J151-$D$9)/$E$9</f>
        <v/>
      </c>
      <c r="L151" s="17">
        <f>(F151-D151)*100</f>
        <v/>
      </c>
      <c r="M151" s="18">
        <f>(L151-$D$10)/$E$10</f>
        <v/>
      </c>
      <c r="N151" s="17">
        <f>(H151-F151)*100</f>
        <v/>
      </c>
      <c r="O151" s="18">
        <f>(N151-$D$11)/$E$11</f>
        <v/>
      </c>
      <c r="P151" s="17">
        <f>(H151-B151)*100</f>
        <v/>
      </c>
      <c r="Q151" s="18">
        <f>(P151-$D$12)/$E$12</f>
        <v/>
      </c>
      <c r="R151" s="17">
        <f>J151-J152</f>
        <v/>
      </c>
      <c r="S151" s="17">
        <f>L151-L152</f>
        <v/>
      </c>
      <c r="T151" s="17">
        <f>N151-N152</f>
        <v/>
      </c>
      <c r="U151" s="17">
        <f>P151-P152</f>
        <v/>
      </c>
    </row>
    <row r="152">
      <c r="A152" s="15" t="n">
        <v>46078</v>
      </c>
      <c r="B152" s="16" t="n">
        <v>3.45</v>
      </c>
      <c r="C152" s="17">
        <f>(B152-B153)*100</f>
        <v/>
      </c>
      <c r="D152" s="16" t="n">
        <v>3.49</v>
      </c>
      <c r="E152" s="17">
        <f>(D152-D153)*100</f>
        <v/>
      </c>
      <c r="F152" s="16" t="n">
        <v>4.05</v>
      </c>
      <c r="G152" s="17">
        <f>(F152-F153)*100</f>
        <v/>
      </c>
      <c r="H152" s="16" t="n">
        <v>4.7</v>
      </c>
      <c r="I152" s="17">
        <f>(H152-H153)*100</f>
        <v/>
      </c>
      <c r="J152" s="17">
        <f>(F152-B152)*100</f>
        <v/>
      </c>
      <c r="K152" s="18">
        <f>(J152-$D$9)/$E$9</f>
        <v/>
      </c>
      <c r="L152" s="17">
        <f>(F152-D152)*100</f>
        <v/>
      </c>
      <c r="M152" s="18">
        <f>(L152-$D$10)/$E$10</f>
        <v/>
      </c>
      <c r="N152" s="17">
        <f>(H152-F152)*100</f>
        <v/>
      </c>
      <c r="O152" s="18">
        <f>(N152-$D$11)/$E$11</f>
        <v/>
      </c>
      <c r="P152" s="17">
        <f>(H152-B152)*100</f>
        <v/>
      </c>
      <c r="Q152" s="18">
        <f>(P152-$D$12)/$E$12</f>
        <v/>
      </c>
      <c r="R152" s="17">
        <f>J152-J153</f>
        <v/>
      </c>
      <c r="S152" s="17">
        <f>L152-L153</f>
        <v/>
      </c>
      <c r="T152" s="17">
        <f>N152-N153</f>
        <v/>
      </c>
      <c r="U152" s="17">
        <f>P152-P153</f>
        <v/>
      </c>
    </row>
    <row r="153">
      <c r="A153" s="15" t="n">
        <v>46077</v>
      </c>
      <c r="B153" s="16" t="n">
        <v>3.43</v>
      </c>
      <c r="C153" s="17">
        <f>(B153-B154)*100</f>
        <v/>
      </c>
      <c r="D153" s="16" t="n">
        <v>3.47</v>
      </c>
      <c r="E153" s="17">
        <f>(D153-D154)*100</f>
        <v/>
      </c>
      <c r="F153" s="16" t="n">
        <v>4.04</v>
      </c>
      <c r="G153" s="17">
        <f>(F153-F154)*100</f>
        <v/>
      </c>
      <c r="H153" s="16" t="n">
        <v>4.7</v>
      </c>
      <c r="I153" s="17">
        <f>(H153-H154)*100</f>
        <v/>
      </c>
      <c r="J153" s="17">
        <f>(F153-B153)*100</f>
        <v/>
      </c>
      <c r="K153" s="18">
        <f>(J153-$D$9)/$E$9</f>
        <v/>
      </c>
      <c r="L153" s="17">
        <f>(F153-D153)*100</f>
        <v/>
      </c>
      <c r="M153" s="18">
        <f>(L153-$D$10)/$E$10</f>
        <v/>
      </c>
      <c r="N153" s="17">
        <f>(H153-F153)*100</f>
        <v/>
      </c>
      <c r="O153" s="18">
        <f>(N153-$D$11)/$E$11</f>
        <v/>
      </c>
      <c r="P153" s="17">
        <f>(H153-B153)*100</f>
        <v/>
      </c>
      <c r="Q153" s="18">
        <f>(P153-$D$12)/$E$12</f>
        <v/>
      </c>
      <c r="R153" s="17">
        <f>J153-J154</f>
        <v/>
      </c>
      <c r="S153" s="17">
        <f>L153-L154</f>
        <v/>
      </c>
      <c r="T153" s="17">
        <f>N153-N154</f>
        <v/>
      </c>
      <c r="U153" s="17">
        <f>P153-P154</f>
        <v/>
      </c>
    </row>
    <row r="154">
      <c r="A154" s="15" t="n">
        <v>46076</v>
      </c>
      <c r="B154" s="16" t="n">
        <v>3.43</v>
      </c>
      <c r="C154" s="17">
        <f>(B154-B155)*100</f>
        <v/>
      </c>
      <c r="D154" s="16" t="n">
        <v>3.45</v>
      </c>
      <c r="E154" s="17">
        <f>(D154-D155)*100</f>
        <v/>
      </c>
      <c r="F154" s="16" t="n">
        <v>4.03</v>
      </c>
      <c r="G154" s="17">
        <f>(F154-F155)*100</f>
        <v/>
      </c>
      <c r="H154" s="16" t="n">
        <v>4.7</v>
      </c>
      <c r="I154" s="17">
        <f>(H154-H155)*100</f>
        <v/>
      </c>
      <c r="J154" s="17">
        <f>(F154-B154)*100</f>
        <v/>
      </c>
      <c r="K154" s="18">
        <f>(J154-$D$9)/$E$9</f>
        <v/>
      </c>
      <c r="L154" s="17">
        <f>(F154-D154)*100</f>
        <v/>
      </c>
      <c r="M154" s="18">
        <f>(L154-$D$10)/$E$10</f>
        <v/>
      </c>
      <c r="N154" s="17">
        <f>(H154-F154)*100</f>
        <v/>
      </c>
      <c r="O154" s="18">
        <f>(N154-$D$11)/$E$11</f>
        <v/>
      </c>
      <c r="P154" s="17">
        <f>(H154-B154)*100</f>
        <v/>
      </c>
      <c r="Q154" s="18">
        <f>(P154-$D$12)/$E$12</f>
        <v/>
      </c>
      <c r="R154" s="17">
        <f>J154-J155</f>
        <v/>
      </c>
      <c r="S154" s="17">
        <f>L154-L155</f>
        <v/>
      </c>
      <c r="T154" s="17">
        <f>N154-N155</f>
        <v/>
      </c>
      <c r="U154" s="17">
        <f>P154-P155</f>
        <v/>
      </c>
    </row>
    <row r="155">
      <c r="A155" s="15" t="n">
        <v>46073</v>
      </c>
      <c r="B155" s="16" t="n">
        <v>3.48</v>
      </c>
      <c r="C155" s="17">
        <f>(B155-B156)*100</f>
        <v/>
      </c>
      <c r="D155" s="16" t="n">
        <v>3.5</v>
      </c>
      <c r="E155" s="17">
        <f>(D155-D156)*100</f>
        <v/>
      </c>
      <c r="F155" s="16" t="n">
        <v>4.08</v>
      </c>
      <c r="G155" s="17">
        <f>(F155-F156)*100</f>
        <v/>
      </c>
      <c r="H155" s="16" t="n">
        <v>4.72</v>
      </c>
      <c r="I155" s="17">
        <f>(H155-H156)*100</f>
        <v/>
      </c>
      <c r="J155" s="17">
        <f>(F155-B155)*100</f>
        <v/>
      </c>
      <c r="K155" s="18">
        <f>(J155-$D$9)/$E$9</f>
        <v/>
      </c>
      <c r="L155" s="17">
        <f>(F155-D155)*100</f>
        <v/>
      </c>
      <c r="M155" s="18">
        <f>(L155-$D$10)/$E$10</f>
        <v/>
      </c>
      <c r="N155" s="17">
        <f>(H155-F155)*100</f>
        <v/>
      </c>
      <c r="O155" s="18">
        <f>(N155-$D$11)/$E$11</f>
        <v/>
      </c>
      <c r="P155" s="17">
        <f>(H155-B155)*100</f>
        <v/>
      </c>
      <c r="Q155" s="18">
        <f>(P155-$D$12)/$E$12</f>
        <v/>
      </c>
      <c r="R155" s="17">
        <f>J155-J156</f>
        <v/>
      </c>
      <c r="S155" s="17">
        <f>L155-L156</f>
        <v/>
      </c>
      <c r="T155" s="17">
        <f>N155-N156</f>
        <v/>
      </c>
      <c r="U155" s="17">
        <f>P155-P156</f>
        <v/>
      </c>
    </row>
    <row r="156">
      <c r="A156" s="15" t="n">
        <v>46072</v>
      </c>
      <c r="B156" s="16" t="n">
        <v>3.47</v>
      </c>
      <c r="C156" s="17">
        <f>(B156-B157)*100</f>
        <v/>
      </c>
      <c r="D156" s="16" t="n">
        <v>3.5</v>
      </c>
      <c r="E156" s="17">
        <f>(D156-D157)*100</f>
        <v/>
      </c>
      <c r="F156" s="16" t="n">
        <v>4.08</v>
      </c>
      <c r="G156" s="17">
        <f>(F156-F157)*100</f>
        <v/>
      </c>
      <c r="H156" s="16" t="n">
        <v>4.7</v>
      </c>
      <c r="I156" s="17">
        <f>(H156-H157)*100</f>
        <v/>
      </c>
      <c r="J156" s="17">
        <f>(F156-B156)*100</f>
        <v/>
      </c>
      <c r="K156" s="18">
        <f>(J156-$D$9)/$E$9</f>
        <v/>
      </c>
      <c r="L156" s="17">
        <f>(F156-D156)*100</f>
        <v/>
      </c>
      <c r="M156" s="18">
        <f>(L156-$D$10)/$E$10</f>
        <v/>
      </c>
      <c r="N156" s="17">
        <f>(H156-F156)*100</f>
        <v/>
      </c>
      <c r="O156" s="18">
        <f>(N156-$D$11)/$E$11</f>
        <v/>
      </c>
      <c r="P156" s="17">
        <f>(H156-B156)*100</f>
        <v/>
      </c>
      <c r="Q156" s="18">
        <f>(P156-$D$12)/$E$12</f>
        <v/>
      </c>
      <c r="R156" s="17">
        <f>J156-J157</f>
        <v/>
      </c>
      <c r="S156" s="17">
        <f>L156-L157</f>
        <v/>
      </c>
      <c r="T156" s="17">
        <f>N156-N157</f>
        <v/>
      </c>
      <c r="U156" s="17">
        <f>P156-P157</f>
        <v/>
      </c>
    </row>
    <row r="157">
      <c r="A157" s="15" t="n">
        <v>46071</v>
      </c>
      <c r="B157" s="16" t="n">
        <v>3.47</v>
      </c>
      <c r="C157" s="17">
        <f>(B157-B158)*100</f>
        <v/>
      </c>
      <c r="D157" s="16" t="n">
        <v>3.5</v>
      </c>
      <c r="E157" s="17">
        <f>(D157-D158)*100</f>
        <v/>
      </c>
      <c r="F157" s="16" t="n">
        <v>4.09</v>
      </c>
      <c r="G157" s="17">
        <f>(F157-F158)*100</f>
        <v/>
      </c>
      <c r="H157" s="16" t="n">
        <v>4.71</v>
      </c>
      <c r="I157" s="17">
        <f>(H157-H158)*100</f>
        <v/>
      </c>
      <c r="J157" s="17">
        <f>(F157-B157)*100</f>
        <v/>
      </c>
      <c r="K157" s="18">
        <f>(J157-$D$9)/$E$9</f>
        <v/>
      </c>
      <c r="L157" s="17">
        <f>(F157-D157)*100</f>
        <v/>
      </c>
      <c r="M157" s="18">
        <f>(L157-$D$10)/$E$10</f>
        <v/>
      </c>
      <c r="N157" s="17">
        <f>(H157-F157)*100</f>
        <v/>
      </c>
      <c r="O157" s="18">
        <f>(N157-$D$11)/$E$11</f>
        <v/>
      </c>
      <c r="P157" s="17">
        <f>(H157-B157)*100</f>
        <v/>
      </c>
      <c r="Q157" s="18">
        <f>(P157-$D$12)/$E$12</f>
        <v/>
      </c>
      <c r="R157" s="17">
        <f>J157-J158</f>
        <v/>
      </c>
      <c r="S157" s="17">
        <f>L157-L158</f>
        <v/>
      </c>
      <c r="T157" s="17">
        <f>N157-N158</f>
        <v/>
      </c>
      <c r="U157" s="17">
        <f>P157-P158</f>
        <v/>
      </c>
    </row>
    <row r="158">
      <c r="A158" s="15" t="n">
        <v>46070</v>
      </c>
      <c r="B158" s="16" t="n">
        <v>3.43</v>
      </c>
      <c r="C158" s="17">
        <f>(B158-B159)*100</f>
        <v/>
      </c>
      <c r="D158" s="16" t="n">
        <v>3.47</v>
      </c>
      <c r="E158" s="17">
        <f>(D158-D159)*100</f>
        <v/>
      </c>
      <c r="F158" s="16" t="n">
        <v>4.05</v>
      </c>
      <c r="G158" s="17">
        <f>(F158-F159)*100</f>
        <v/>
      </c>
      <c r="H158" s="16" t="n">
        <v>4.68</v>
      </c>
      <c r="I158" s="17">
        <f>(H158-H159)*100</f>
        <v/>
      </c>
      <c r="J158" s="17">
        <f>(F158-B158)*100</f>
        <v/>
      </c>
      <c r="K158" s="18">
        <f>(J158-$D$9)/$E$9</f>
        <v/>
      </c>
      <c r="L158" s="17">
        <f>(F158-D158)*100</f>
        <v/>
      </c>
      <c r="M158" s="18">
        <f>(L158-$D$10)/$E$10</f>
        <v/>
      </c>
      <c r="N158" s="17">
        <f>(H158-F158)*100</f>
        <v/>
      </c>
      <c r="O158" s="18">
        <f>(N158-$D$11)/$E$11</f>
        <v/>
      </c>
      <c r="P158" s="17">
        <f>(H158-B158)*100</f>
        <v/>
      </c>
      <c r="Q158" s="18">
        <f>(P158-$D$12)/$E$12</f>
        <v/>
      </c>
      <c r="R158" s="17">
        <f>J158-J159</f>
        <v/>
      </c>
      <c r="S158" s="17">
        <f>L158-L159</f>
        <v/>
      </c>
      <c r="T158" s="17">
        <f>N158-N159</f>
        <v/>
      </c>
      <c r="U158" s="17">
        <f>P158-P159</f>
        <v/>
      </c>
    </row>
    <row r="159">
      <c r="A159" s="15" t="n">
        <v>46066</v>
      </c>
      <c r="B159" s="16" t="n">
        <v>3.4</v>
      </c>
      <c r="C159" s="17">
        <f>(B159-B160)*100</f>
        <v/>
      </c>
      <c r="D159" s="16" t="n">
        <v>3.43</v>
      </c>
      <c r="E159" s="17">
        <f>(D159-D160)*100</f>
        <v/>
      </c>
      <c r="F159" s="16" t="n">
        <v>4.04</v>
      </c>
      <c r="G159" s="17">
        <f>(F159-F160)*100</f>
        <v/>
      </c>
      <c r="H159" s="16" t="n">
        <v>4.69</v>
      </c>
      <c r="I159" s="17">
        <f>(H159-H160)*100</f>
        <v/>
      </c>
      <c r="J159" s="17">
        <f>(F159-B159)*100</f>
        <v/>
      </c>
      <c r="K159" s="18">
        <f>(J159-$D$9)/$E$9</f>
        <v/>
      </c>
      <c r="L159" s="17">
        <f>(F159-D159)*100</f>
        <v/>
      </c>
      <c r="M159" s="18">
        <f>(L159-$D$10)/$E$10</f>
        <v/>
      </c>
      <c r="N159" s="17">
        <f>(H159-F159)*100</f>
        <v/>
      </c>
      <c r="O159" s="18">
        <f>(N159-$D$11)/$E$11</f>
        <v/>
      </c>
      <c r="P159" s="17">
        <f>(H159-B159)*100</f>
        <v/>
      </c>
      <c r="Q159" s="18">
        <f>(P159-$D$12)/$E$12</f>
        <v/>
      </c>
      <c r="R159" s="17">
        <f>J159-J160</f>
        <v/>
      </c>
      <c r="S159" s="17">
        <f>L159-L160</f>
        <v/>
      </c>
      <c r="T159" s="17">
        <f>N159-N160</f>
        <v/>
      </c>
      <c r="U159" s="17">
        <f>P159-P160</f>
        <v/>
      </c>
    </row>
    <row r="160">
      <c r="A160" s="15" t="n">
        <v>46065</v>
      </c>
      <c r="B160" s="16" t="n">
        <v>3.47</v>
      </c>
      <c r="C160" s="17">
        <f>(B160-B161)*100</f>
        <v/>
      </c>
      <c r="D160" s="16" t="n">
        <v>3.49</v>
      </c>
      <c r="E160" s="17">
        <f>(D160-D161)*100</f>
        <v/>
      </c>
      <c r="F160" s="16" t="n">
        <v>4.09</v>
      </c>
      <c r="G160" s="17">
        <f>(F160-F161)*100</f>
        <v/>
      </c>
      <c r="H160" s="16" t="n">
        <v>4.72</v>
      </c>
      <c r="I160" s="17">
        <f>(H160-H161)*100</f>
        <v/>
      </c>
      <c r="J160" s="17">
        <f>(F160-B160)*100</f>
        <v/>
      </c>
      <c r="K160" s="18">
        <f>(J160-$D$9)/$E$9</f>
        <v/>
      </c>
      <c r="L160" s="17">
        <f>(F160-D160)*100</f>
        <v/>
      </c>
      <c r="M160" s="18">
        <f>(L160-$D$10)/$E$10</f>
        <v/>
      </c>
      <c r="N160" s="17">
        <f>(H160-F160)*100</f>
        <v/>
      </c>
      <c r="O160" s="18">
        <f>(N160-$D$11)/$E$11</f>
        <v/>
      </c>
      <c r="P160" s="17">
        <f>(H160-B160)*100</f>
        <v/>
      </c>
      <c r="Q160" s="18">
        <f>(P160-$D$12)/$E$12</f>
        <v/>
      </c>
      <c r="R160" s="17">
        <f>J160-J161</f>
        <v/>
      </c>
      <c r="S160" s="17">
        <f>L160-L161</f>
        <v/>
      </c>
      <c r="T160" s="17">
        <f>N160-N161</f>
        <v/>
      </c>
      <c r="U160" s="17">
        <f>P160-P161</f>
        <v/>
      </c>
    </row>
    <row r="161">
      <c r="A161" s="15" t="n">
        <v>46064</v>
      </c>
      <c r="B161" s="16" t="n">
        <v>3.52</v>
      </c>
      <c r="C161" s="17">
        <f>(B161-B162)*100</f>
        <v/>
      </c>
      <c r="D161" s="16" t="n">
        <v>3.55</v>
      </c>
      <c r="E161" s="17">
        <f>(D161-D162)*100</f>
        <v/>
      </c>
      <c r="F161" s="16" t="n">
        <v>4.18</v>
      </c>
      <c r="G161" s="17">
        <f>(F161-F162)*100</f>
        <v/>
      </c>
      <c r="H161" s="16" t="n">
        <v>4.82</v>
      </c>
      <c r="I161" s="17">
        <f>(H161-H162)*100</f>
        <v/>
      </c>
      <c r="J161" s="17">
        <f>(F161-B161)*100</f>
        <v/>
      </c>
      <c r="K161" s="18">
        <f>(J161-$D$9)/$E$9</f>
        <v/>
      </c>
      <c r="L161" s="17">
        <f>(F161-D161)*100</f>
        <v/>
      </c>
      <c r="M161" s="18">
        <f>(L161-$D$10)/$E$10</f>
        <v/>
      </c>
      <c r="N161" s="17">
        <f>(H161-F161)*100</f>
        <v/>
      </c>
      <c r="O161" s="18">
        <f>(N161-$D$11)/$E$11</f>
        <v/>
      </c>
      <c r="P161" s="17">
        <f>(H161-B161)*100</f>
        <v/>
      </c>
      <c r="Q161" s="18">
        <f>(P161-$D$12)/$E$12</f>
        <v/>
      </c>
      <c r="R161" s="17">
        <f>J161-J162</f>
        <v/>
      </c>
      <c r="S161" s="17">
        <f>L161-L162</f>
        <v/>
      </c>
      <c r="T161" s="17">
        <f>N161-N162</f>
        <v/>
      </c>
      <c r="U161" s="17">
        <f>P161-P162</f>
        <v/>
      </c>
    </row>
    <row r="162">
      <c r="A162" s="15" t="n">
        <v>46063</v>
      </c>
      <c r="B162" s="16" t="n">
        <v>3.45</v>
      </c>
      <c r="C162" s="17">
        <f>(B162-B163)*100</f>
        <v/>
      </c>
      <c r="D162" s="16" t="n">
        <v>3.5</v>
      </c>
      <c r="E162" s="17">
        <f>(D162-D163)*100</f>
        <v/>
      </c>
      <c r="F162" s="16" t="n">
        <v>4.16</v>
      </c>
      <c r="G162" s="17">
        <f>(F162-F163)*100</f>
        <v/>
      </c>
      <c r="H162" s="16" t="n">
        <v>4.78</v>
      </c>
      <c r="I162" s="17">
        <f>(H162-H163)*100</f>
        <v/>
      </c>
      <c r="J162" s="17">
        <f>(F162-B162)*100</f>
        <v/>
      </c>
      <c r="K162" s="18">
        <f>(J162-$D$9)/$E$9</f>
        <v/>
      </c>
      <c r="L162" s="17">
        <f>(F162-D162)*100</f>
        <v/>
      </c>
      <c r="M162" s="18">
        <f>(L162-$D$10)/$E$10</f>
        <v/>
      </c>
      <c r="N162" s="17">
        <f>(H162-F162)*100</f>
        <v/>
      </c>
      <c r="O162" s="18">
        <f>(N162-$D$11)/$E$11</f>
        <v/>
      </c>
      <c r="P162" s="17">
        <f>(H162-B162)*100</f>
        <v/>
      </c>
      <c r="Q162" s="18">
        <f>(P162-$D$12)/$E$12</f>
        <v/>
      </c>
      <c r="R162" s="17">
        <f>J162-J163</f>
        <v/>
      </c>
      <c r="S162" s="17">
        <f>L162-L163</f>
        <v/>
      </c>
      <c r="T162" s="17">
        <f>N162-N163</f>
        <v/>
      </c>
      <c r="U162" s="17">
        <f>P162-P163</f>
        <v/>
      </c>
    </row>
    <row r="163">
      <c r="A163" s="15" t="n">
        <v>46062</v>
      </c>
      <c r="B163" s="16" t="n">
        <v>3.48</v>
      </c>
      <c r="C163" s="17">
        <f>(B163-B164)*100</f>
        <v/>
      </c>
      <c r="D163" s="16" t="n">
        <v>3.56</v>
      </c>
      <c r="E163" s="17">
        <f>(D163-D164)*100</f>
        <v/>
      </c>
      <c r="F163" s="16" t="n">
        <v>4.22</v>
      </c>
      <c r="G163" s="17">
        <f>(F163-F164)*100</f>
        <v/>
      </c>
      <c r="H163" s="16" t="n">
        <v>4.85</v>
      </c>
      <c r="I163" s="17">
        <f>(H163-H164)*100</f>
        <v/>
      </c>
      <c r="J163" s="17">
        <f>(F163-B163)*100</f>
        <v/>
      </c>
      <c r="K163" s="18">
        <f>(J163-$D$9)/$E$9</f>
        <v/>
      </c>
      <c r="L163" s="17">
        <f>(F163-D163)*100</f>
        <v/>
      </c>
      <c r="M163" s="18">
        <f>(L163-$D$10)/$E$10</f>
        <v/>
      </c>
      <c r="N163" s="17">
        <f>(H163-F163)*100</f>
        <v/>
      </c>
      <c r="O163" s="18">
        <f>(N163-$D$11)/$E$11</f>
        <v/>
      </c>
      <c r="P163" s="17">
        <f>(H163-B163)*100</f>
        <v/>
      </c>
      <c r="Q163" s="18">
        <f>(P163-$D$12)/$E$12</f>
        <v/>
      </c>
      <c r="R163" s="17">
        <f>J163-J164</f>
        <v/>
      </c>
      <c r="S163" s="17">
        <f>L163-L164</f>
        <v/>
      </c>
      <c r="T163" s="17">
        <f>N163-N164</f>
        <v/>
      </c>
      <c r="U163" s="17">
        <f>P163-P164</f>
        <v/>
      </c>
    </row>
    <row r="164">
      <c r="A164" s="15" t="n">
        <v>46059</v>
      </c>
      <c r="B164" s="16" t="n">
        <v>3.5</v>
      </c>
      <c r="C164" s="17">
        <f>(B164-B165)*100</f>
        <v/>
      </c>
      <c r="D164" s="16" t="n">
        <v>3.57</v>
      </c>
      <c r="E164" s="17">
        <f>(D164-D165)*100</f>
        <v/>
      </c>
      <c r="F164" s="16" t="n">
        <v>4.22</v>
      </c>
      <c r="G164" s="17">
        <f>(F164-F165)*100</f>
        <v/>
      </c>
      <c r="H164" s="16" t="n">
        <v>4.85</v>
      </c>
      <c r="I164" s="17">
        <f>(H164-H165)*100</f>
        <v/>
      </c>
      <c r="J164" s="17">
        <f>(F164-B164)*100</f>
        <v/>
      </c>
      <c r="K164" s="18">
        <f>(J164-$D$9)/$E$9</f>
        <v/>
      </c>
      <c r="L164" s="17">
        <f>(F164-D164)*100</f>
        <v/>
      </c>
      <c r="M164" s="18">
        <f>(L164-$D$10)/$E$10</f>
        <v/>
      </c>
      <c r="N164" s="17">
        <f>(H164-F164)*100</f>
        <v/>
      </c>
      <c r="O164" s="18">
        <f>(N164-$D$11)/$E$11</f>
        <v/>
      </c>
      <c r="P164" s="17">
        <f>(H164-B164)*100</f>
        <v/>
      </c>
      <c r="Q164" s="18">
        <f>(P164-$D$12)/$E$12</f>
        <v/>
      </c>
      <c r="R164" s="17">
        <f>J164-J165</f>
        <v/>
      </c>
      <c r="S164" s="17">
        <f>L164-L165</f>
        <v/>
      </c>
      <c r="T164" s="17">
        <f>N164-N165</f>
        <v/>
      </c>
      <c r="U164" s="17">
        <f>P164-P165</f>
        <v/>
      </c>
    </row>
    <row r="165">
      <c r="A165" s="15" t="n">
        <v>46058</v>
      </c>
      <c r="B165" s="16" t="n">
        <v>3.47</v>
      </c>
      <c r="C165" s="17">
        <f>(B165-B166)*100</f>
        <v/>
      </c>
      <c r="D165" s="16" t="n">
        <v>3.55</v>
      </c>
      <c r="E165" s="17">
        <f>(D165-D166)*100</f>
        <v/>
      </c>
      <c r="F165" s="16" t="n">
        <v>4.21</v>
      </c>
      <c r="G165" s="17">
        <f>(F165-F166)*100</f>
        <v/>
      </c>
      <c r="H165" s="16" t="n">
        <v>4.85</v>
      </c>
      <c r="I165" s="17">
        <f>(H165-H166)*100</f>
        <v/>
      </c>
      <c r="J165" s="17">
        <f>(F165-B165)*100</f>
        <v/>
      </c>
      <c r="K165" s="18">
        <f>(J165-$D$9)/$E$9</f>
        <v/>
      </c>
      <c r="L165" s="17">
        <f>(F165-D165)*100</f>
        <v/>
      </c>
      <c r="M165" s="18">
        <f>(L165-$D$10)/$E$10</f>
        <v/>
      </c>
      <c r="N165" s="17">
        <f>(H165-F165)*100</f>
        <v/>
      </c>
      <c r="O165" s="18">
        <f>(N165-$D$11)/$E$11</f>
        <v/>
      </c>
      <c r="P165" s="17">
        <f>(H165-B165)*100</f>
        <v/>
      </c>
      <c r="Q165" s="18">
        <f>(P165-$D$12)/$E$12</f>
        <v/>
      </c>
      <c r="R165" s="17">
        <f>J165-J166</f>
        <v/>
      </c>
      <c r="S165" s="17">
        <f>L165-L166</f>
        <v/>
      </c>
      <c r="T165" s="17">
        <f>N165-N166</f>
        <v/>
      </c>
      <c r="U165" s="17">
        <f>P165-P166</f>
        <v/>
      </c>
    </row>
    <row r="166">
      <c r="A166" s="15" t="n">
        <v>46057</v>
      </c>
      <c r="B166" s="16" t="n">
        <v>3.57</v>
      </c>
      <c r="C166" s="17">
        <f>(B166-B167)*100</f>
        <v/>
      </c>
      <c r="D166" s="16" t="n">
        <v>3.64</v>
      </c>
      <c r="E166" s="17">
        <f>(D166-D167)*100</f>
        <v/>
      </c>
      <c r="F166" s="16" t="n">
        <v>4.29</v>
      </c>
      <c r="G166" s="17">
        <f>(F166-F167)*100</f>
        <v/>
      </c>
      <c r="H166" s="16" t="n">
        <v>4.91</v>
      </c>
      <c r="I166" s="17">
        <f>(H166-H167)*100</f>
        <v/>
      </c>
      <c r="J166" s="17">
        <f>(F166-B166)*100</f>
        <v/>
      </c>
      <c r="K166" s="18">
        <f>(J166-$D$9)/$E$9</f>
        <v/>
      </c>
      <c r="L166" s="17">
        <f>(F166-D166)*100</f>
        <v/>
      </c>
      <c r="M166" s="18">
        <f>(L166-$D$10)/$E$10</f>
        <v/>
      </c>
      <c r="N166" s="17">
        <f>(H166-F166)*100</f>
        <v/>
      </c>
      <c r="O166" s="18">
        <f>(N166-$D$11)/$E$11</f>
        <v/>
      </c>
      <c r="P166" s="17">
        <f>(H166-B166)*100</f>
        <v/>
      </c>
      <c r="Q166" s="18">
        <f>(P166-$D$12)/$E$12</f>
        <v/>
      </c>
      <c r="R166" s="17">
        <f>J166-J167</f>
        <v/>
      </c>
      <c r="S166" s="17">
        <f>L166-L167</f>
        <v/>
      </c>
      <c r="T166" s="17">
        <f>N166-N167</f>
        <v/>
      </c>
      <c r="U166" s="17">
        <f>P166-P167</f>
        <v/>
      </c>
    </row>
    <row r="167">
      <c r="A167" s="15" t="n">
        <v>46056</v>
      </c>
      <c r="B167" s="16" t="n">
        <v>3.57</v>
      </c>
      <c r="C167" s="17">
        <f>(B167-B168)*100</f>
        <v/>
      </c>
      <c r="D167" s="16" t="n">
        <v>3.64</v>
      </c>
      <c r="E167" s="17">
        <f>(D167-D168)*100</f>
        <v/>
      </c>
      <c r="F167" s="16" t="n">
        <v>4.28</v>
      </c>
      <c r="G167" s="17">
        <f>(F167-F168)*100</f>
        <v/>
      </c>
      <c r="H167" s="16" t="n">
        <v>4.9</v>
      </c>
      <c r="I167" s="17">
        <f>(H167-H168)*100</f>
        <v/>
      </c>
      <c r="J167" s="17">
        <f>(F167-B167)*100</f>
        <v/>
      </c>
      <c r="K167" s="18">
        <f>(J167-$D$9)/$E$9</f>
        <v/>
      </c>
      <c r="L167" s="17">
        <f>(F167-D167)*100</f>
        <v/>
      </c>
      <c r="M167" s="18">
        <f>(L167-$D$10)/$E$10</f>
        <v/>
      </c>
      <c r="N167" s="17">
        <f>(H167-F167)*100</f>
        <v/>
      </c>
      <c r="O167" s="18">
        <f>(N167-$D$11)/$E$11</f>
        <v/>
      </c>
      <c r="P167" s="17">
        <f>(H167-B167)*100</f>
        <v/>
      </c>
      <c r="Q167" s="18">
        <f>(P167-$D$12)/$E$12</f>
        <v/>
      </c>
      <c r="R167" s="17">
        <f>J167-J168</f>
        <v/>
      </c>
      <c r="S167" s="17">
        <f>L167-L168</f>
        <v/>
      </c>
      <c r="T167" s="17">
        <f>N167-N168</f>
        <v/>
      </c>
      <c r="U167" s="17">
        <f>P167-P168</f>
        <v/>
      </c>
    </row>
    <row r="168">
      <c r="A168" s="15" t="n">
        <v>46055</v>
      </c>
      <c r="B168" s="16" t="n">
        <v>3.57</v>
      </c>
      <c r="C168" s="17">
        <f>(B168-B169)*100</f>
        <v/>
      </c>
      <c r="D168" s="16" t="n">
        <v>3.64</v>
      </c>
      <c r="E168" s="17">
        <f>(D168-D169)*100</f>
        <v/>
      </c>
      <c r="F168" s="16" t="n">
        <v>4.29</v>
      </c>
      <c r="G168" s="17">
        <f>(F168-F169)*100</f>
        <v/>
      </c>
      <c r="H168" s="16" t="n">
        <v>4.9</v>
      </c>
      <c r="I168" s="17">
        <f>(H168-H169)*100</f>
        <v/>
      </c>
      <c r="J168" s="17">
        <f>(F168-B168)*100</f>
        <v/>
      </c>
      <c r="K168" s="18">
        <f>(J168-$D$9)/$E$9</f>
        <v/>
      </c>
      <c r="L168" s="17">
        <f>(F168-D168)*100</f>
        <v/>
      </c>
      <c r="M168" s="18">
        <f>(L168-$D$10)/$E$10</f>
        <v/>
      </c>
      <c r="N168" s="17">
        <f>(H168-F168)*100</f>
        <v/>
      </c>
      <c r="O168" s="18">
        <f>(N168-$D$11)/$E$11</f>
        <v/>
      </c>
      <c r="P168" s="17">
        <f>(H168-B168)*100</f>
        <v/>
      </c>
      <c r="Q168" s="18">
        <f>(P168-$D$12)/$E$12</f>
        <v/>
      </c>
      <c r="R168" s="17">
        <f>J168-J169</f>
        <v/>
      </c>
      <c r="S168" s="17">
        <f>L168-L169</f>
        <v/>
      </c>
      <c r="T168" s="17">
        <f>N168-N169</f>
        <v/>
      </c>
      <c r="U168" s="17">
        <f>P168-P169</f>
        <v/>
      </c>
    </row>
    <row r="169">
      <c r="A169" s="15" t="n">
        <v>46052</v>
      </c>
      <c r="B169" s="16" t="n">
        <v>3.52</v>
      </c>
      <c r="C169" s="17">
        <f>(B169-B170)*100</f>
        <v/>
      </c>
      <c r="D169" s="16" t="n">
        <v>3.6</v>
      </c>
      <c r="E169" s="17">
        <f>(D169-D170)*100</f>
        <v/>
      </c>
      <c r="F169" s="16" t="n">
        <v>4.26</v>
      </c>
      <c r="G169" s="17">
        <f>(F169-F170)*100</f>
        <v/>
      </c>
      <c r="H169" s="16" t="n">
        <v>4.87</v>
      </c>
      <c r="I169" s="17">
        <f>(H169-H170)*100</f>
        <v/>
      </c>
      <c r="J169" s="17">
        <f>(F169-B169)*100</f>
        <v/>
      </c>
      <c r="K169" s="18">
        <f>(J169-$D$9)/$E$9</f>
        <v/>
      </c>
      <c r="L169" s="17">
        <f>(F169-D169)*100</f>
        <v/>
      </c>
      <c r="M169" s="18">
        <f>(L169-$D$10)/$E$10</f>
        <v/>
      </c>
      <c r="N169" s="17">
        <f>(H169-F169)*100</f>
        <v/>
      </c>
      <c r="O169" s="18">
        <f>(N169-$D$11)/$E$11</f>
        <v/>
      </c>
      <c r="P169" s="17">
        <f>(H169-B169)*100</f>
        <v/>
      </c>
      <c r="Q169" s="18">
        <f>(P169-$D$12)/$E$12</f>
        <v/>
      </c>
      <c r="R169" s="17">
        <f>J169-J170</f>
        <v/>
      </c>
      <c r="S169" s="17">
        <f>L169-L170</f>
        <v/>
      </c>
      <c r="T169" s="17">
        <f>N169-N170</f>
        <v/>
      </c>
      <c r="U169" s="17">
        <f>P169-P170</f>
        <v/>
      </c>
    </row>
    <row r="170">
      <c r="A170" s="15" t="n">
        <v>46051</v>
      </c>
      <c r="B170" s="16" t="n">
        <v>3.53</v>
      </c>
      <c r="C170" s="17">
        <f>(B170-B171)*100</f>
        <v/>
      </c>
      <c r="D170" s="16" t="n">
        <v>3.63</v>
      </c>
      <c r="E170" s="17">
        <f>(D170-D171)*100</f>
        <v/>
      </c>
      <c r="F170" s="16" t="n">
        <v>4.24</v>
      </c>
      <c r="G170" s="17">
        <f>(F170-F171)*100</f>
        <v/>
      </c>
      <c r="H170" s="16" t="n">
        <v>4.85</v>
      </c>
      <c r="I170" s="17">
        <f>(H170-H171)*100</f>
        <v/>
      </c>
      <c r="J170" s="17">
        <f>(F170-B170)*100</f>
        <v/>
      </c>
      <c r="K170" s="18">
        <f>(J170-$D$9)/$E$9</f>
        <v/>
      </c>
      <c r="L170" s="17">
        <f>(F170-D170)*100</f>
        <v/>
      </c>
      <c r="M170" s="18">
        <f>(L170-$D$10)/$E$10</f>
        <v/>
      </c>
      <c r="N170" s="17">
        <f>(H170-F170)*100</f>
        <v/>
      </c>
      <c r="O170" s="18">
        <f>(N170-$D$11)/$E$11</f>
        <v/>
      </c>
      <c r="P170" s="17">
        <f>(H170-B170)*100</f>
        <v/>
      </c>
      <c r="Q170" s="18">
        <f>(P170-$D$12)/$E$12</f>
        <v/>
      </c>
      <c r="R170" s="17">
        <f>J170-J171</f>
        <v/>
      </c>
      <c r="S170" s="17">
        <f>L170-L171</f>
        <v/>
      </c>
      <c r="T170" s="17">
        <f>N170-N171</f>
        <v/>
      </c>
      <c r="U170" s="17">
        <f>P170-P171</f>
        <v/>
      </c>
    </row>
    <row r="171">
      <c r="A171" s="15" t="n">
        <v>46050</v>
      </c>
      <c r="B171" s="16" t="n">
        <v>3.56</v>
      </c>
      <c r="C171" s="17">
        <f>(B171-B172)*100</f>
        <v/>
      </c>
      <c r="D171" s="16" t="n">
        <v>3.66</v>
      </c>
      <c r="E171" s="17">
        <f>(D171-D172)*100</f>
        <v/>
      </c>
      <c r="F171" s="16" t="n">
        <v>4.26</v>
      </c>
      <c r="G171" s="17">
        <f>(F171-F172)*100</f>
        <v/>
      </c>
      <c r="H171" s="16" t="n">
        <v>4.85</v>
      </c>
      <c r="I171" s="17">
        <f>(H171-H172)*100</f>
        <v/>
      </c>
      <c r="J171" s="17">
        <f>(F171-B171)*100</f>
        <v/>
      </c>
      <c r="K171" s="18">
        <f>(J171-$D$9)/$E$9</f>
        <v/>
      </c>
      <c r="L171" s="17">
        <f>(F171-D171)*100</f>
        <v/>
      </c>
      <c r="M171" s="18">
        <f>(L171-$D$10)/$E$10</f>
        <v/>
      </c>
      <c r="N171" s="17">
        <f>(H171-F171)*100</f>
        <v/>
      </c>
      <c r="O171" s="18">
        <f>(N171-$D$11)/$E$11</f>
        <v/>
      </c>
      <c r="P171" s="17">
        <f>(H171-B171)*100</f>
        <v/>
      </c>
      <c r="Q171" s="18">
        <f>(P171-$D$12)/$E$12</f>
        <v/>
      </c>
      <c r="R171" s="17">
        <f>J171-J172</f>
        <v/>
      </c>
      <c r="S171" s="17">
        <f>L171-L172</f>
        <v/>
      </c>
      <c r="T171" s="17">
        <f>N171-N172</f>
        <v/>
      </c>
      <c r="U171" s="17">
        <f>P171-P172</f>
        <v/>
      </c>
    </row>
    <row r="172">
      <c r="A172" s="15" t="n">
        <v>46049</v>
      </c>
      <c r="B172" s="16" t="n">
        <v>3.53</v>
      </c>
      <c r="C172" s="17">
        <f>(B172-B173)*100</f>
        <v/>
      </c>
      <c r="D172" s="16" t="n">
        <v>3.65</v>
      </c>
      <c r="E172" s="17">
        <f>(D172-D173)*100</f>
        <v/>
      </c>
      <c r="F172" s="16" t="n">
        <v>4.24</v>
      </c>
      <c r="G172" s="17">
        <f>(F172-F173)*100</f>
        <v/>
      </c>
      <c r="H172" s="16" t="n">
        <v>4.83</v>
      </c>
      <c r="I172" s="17">
        <f>(H172-H173)*100</f>
        <v/>
      </c>
      <c r="J172" s="17">
        <f>(F172-B172)*100</f>
        <v/>
      </c>
      <c r="K172" s="18">
        <f>(J172-$D$9)/$E$9</f>
        <v/>
      </c>
      <c r="L172" s="17">
        <f>(F172-D172)*100</f>
        <v/>
      </c>
      <c r="M172" s="18">
        <f>(L172-$D$10)/$E$10</f>
        <v/>
      </c>
      <c r="N172" s="17">
        <f>(H172-F172)*100</f>
        <v/>
      </c>
      <c r="O172" s="18">
        <f>(N172-$D$11)/$E$11</f>
        <v/>
      </c>
      <c r="P172" s="17">
        <f>(H172-B172)*100</f>
        <v/>
      </c>
      <c r="Q172" s="18">
        <f>(P172-$D$12)/$E$12</f>
        <v/>
      </c>
      <c r="R172" s="17">
        <f>J172-J173</f>
        <v/>
      </c>
      <c r="S172" s="17">
        <f>L172-L173</f>
        <v/>
      </c>
      <c r="T172" s="17">
        <f>N172-N173</f>
        <v/>
      </c>
      <c r="U172" s="17">
        <f>P172-P173</f>
        <v/>
      </c>
    </row>
    <row r="173">
      <c r="A173" s="15" t="n">
        <v>46048</v>
      </c>
      <c r="B173" s="16" t="n">
        <v>3.56</v>
      </c>
      <c r="C173" s="17">
        <f>(B173-B174)*100</f>
        <v/>
      </c>
      <c r="D173" s="16" t="n">
        <v>3.66</v>
      </c>
      <c r="E173" s="17">
        <f>(D173-D174)*100</f>
        <v/>
      </c>
      <c r="F173" s="16" t="n">
        <v>4.22</v>
      </c>
      <c r="G173" s="17">
        <f>(F173-F174)*100</f>
        <v/>
      </c>
      <c r="H173" s="16" t="n">
        <v>4.8</v>
      </c>
      <c r="I173" s="17">
        <f>(H173-H174)*100</f>
        <v/>
      </c>
      <c r="J173" s="17">
        <f>(F173-B173)*100</f>
        <v/>
      </c>
      <c r="K173" s="18">
        <f>(J173-$D$9)/$E$9</f>
        <v/>
      </c>
      <c r="L173" s="17">
        <f>(F173-D173)*100</f>
        <v/>
      </c>
      <c r="M173" s="18">
        <f>(L173-$D$10)/$E$10</f>
        <v/>
      </c>
      <c r="N173" s="17">
        <f>(H173-F173)*100</f>
        <v/>
      </c>
      <c r="O173" s="18">
        <f>(N173-$D$11)/$E$11</f>
        <v/>
      </c>
      <c r="P173" s="17">
        <f>(H173-B173)*100</f>
        <v/>
      </c>
      <c r="Q173" s="18">
        <f>(P173-$D$12)/$E$12</f>
        <v/>
      </c>
      <c r="R173" s="17">
        <f>J173-J174</f>
        <v/>
      </c>
      <c r="S173" s="17">
        <f>L173-L174</f>
        <v/>
      </c>
      <c r="T173" s="17">
        <f>N173-N174</f>
        <v/>
      </c>
      <c r="U173" s="17">
        <f>P173-P174</f>
        <v/>
      </c>
    </row>
    <row r="174">
      <c r="A174" s="15" t="n">
        <v>46045</v>
      </c>
      <c r="B174" s="16" t="n">
        <v>3.6</v>
      </c>
      <c r="C174" s="17">
        <f>(B174-B175)*100</f>
        <v/>
      </c>
      <c r="D174" s="16" t="n">
        <v>3.67</v>
      </c>
      <c r="E174" s="17">
        <f>(D174-D175)*100</f>
        <v/>
      </c>
      <c r="F174" s="16" t="n">
        <v>4.24</v>
      </c>
      <c r="G174" s="17">
        <f>(F174-F175)*100</f>
        <v/>
      </c>
      <c r="H174" s="16" t="n">
        <v>4.82</v>
      </c>
      <c r="I174" s="17">
        <f>(H174-H175)*100</f>
        <v/>
      </c>
      <c r="J174" s="17">
        <f>(F174-B174)*100</f>
        <v/>
      </c>
      <c r="K174" s="18">
        <f>(J174-$D$9)/$E$9</f>
        <v/>
      </c>
      <c r="L174" s="17">
        <f>(F174-D174)*100</f>
        <v/>
      </c>
      <c r="M174" s="18">
        <f>(L174-$D$10)/$E$10</f>
        <v/>
      </c>
      <c r="N174" s="17">
        <f>(H174-F174)*100</f>
        <v/>
      </c>
      <c r="O174" s="18">
        <f>(N174-$D$11)/$E$11</f>
        <v/>
      </c>
      <c r="P174" s="17">
        <f>(H174-B174)*100</f>
        <v/>
      </c>
      <c r="Q174" s="18">
        <f>(P174-$D$12)/$E$12</f>
        <v/>
      </c>
      <c r="R174" s="17">
        <f>J174-J175</f>
        <v/>
      </c>
      <c r="S174" s="17">
        <f>L174-L175</f>
        <v/>
      </c>
      <c r="T174" s="17">
        <f>N174-N175</f>
        <v/>
      </c>
      <c r="U174" s="17">
        <f>P174-P175</f>
        <v/>
      </c>
    </row>
    <row r="175">
      <c r="A175" s="15" t="n">
        <v>46044</v>
      </c>
      <c r="B175" s="16" t="n">
        <v>3.61</v>
      </c>
      <c r="C175" s="17">
        <f>(B175-B176)*100</f>
        <v/>
      </c>
      <c r="D175" s="16" t="n">
        <v>3.68</v>
      </c>
      <c r="E175" s="17">
        <f>(D175-D176)*100</f>
        <v/>
      </c>
      <c r="F175" s="16" t="n">
        <v>4.26</v>
      </c>
      <c r="G175" s="17">
        <f>(F175-F176)*100</f>
        <v/>
      </c>
      <c r="H175" s="16" t="n">
        <v>4.84</v>
      </c>
      <c r="I175" s="17">
        <f>(H175-H176)*100</f>
        <v/>
      </c>
      <c r="J175" s="17">
        <f>(F175-B175)*100</f>
        <v/>
      </c>
      <c r="K175" s="18">
        <f>(J175-$D$9)/$E$9</f>
        <v/>
      </c>
      <c r="L175" s="17">
        <f>(F175-D175)*100</f>
        <v/>
      </c>
      <c r="M175" s="18">
        <f>(L175-$D$10)/$E$10</f>
        <v/>
      </c>
      <c r="N175" s="17">
        <f>(H175-F175)*100</f>
        <v/>
      </c>
      <c r="O175" s="18">
        <f>(N175-$D$11)/$E$11</f>
        <v/>
      </c>
      <c r="P175" s="17">
        <f>(H175-B175)*100</f>
        <v/>
      </c>
      <c r="Q175" s="18">
        <f>(P175-$D$12)/$E$12</f>
        <v/>
      </c>
      <c r="R175" s="17">
        <f>J175-J176</f>
        <v/>
      </c>
      <c r="S175" s="17">
        <f>L175-L176</f>
        <v/>
      </c>
      <c r="T175" s="17">
        <f>N175-N176</f>
        <v/>
      </c>
      <c r="U175" s="17">
        <f>P175-P176</f>
        <v/>
      </c>
    </row>
    <row r="176">
      <c r="A176" s="15" t="n">
        <v>46043</v>
      </c>
      <c r="B176" s="16" t="n">
        <v>3.6</v>
      </c>
      <c r="C176" s="17">
        <f>(B176-B177)*100</f>
        <v/>
      </c>
      <c r="D176" s="16" t="n">
        <v>3.66</v>
      </c>
      <c r="E176" s="17">
        <f>(D176-D177)*100</f>
        <v/>
      </c>
      <c r="F176" s="16" t="n">
        <v>4.26</v>
      </c>
      <c r="G176" s="17">
        <f>(F176-F177)*100</f>
        <v/>
      </c>
      <c r="H176" s="16" t="n">
        <v>4.87</v>
      </c>
      <c r="I176" s="17">
        <f>(H176-H177)*100</f>
        <v/>
      </c>
      <c r="J176" s="17">
        <f>(F176-B176)*100</f>
        <v/>
      </c>
      <c r="K176" s="18">
        <f>(J176-$D$9)/$E$9</f>
        <v/>
      </c>
      <c r="L176" s="17">
        <f>(F176-D176)*100</f>
        <v/>
      </c>
      <c r="M176" s="18">
        <f>(L176-$D$10)/$E$10</f>
        <v/>
      </c>
      <c r="N176" s="17">
        <f>(H176-F176)*100</f>
        <v/>
      </c>
      <c r="O176" s="18">
        <f>(N176-$D$11)/$E$11</f>
        <v/>
      </c>
      <c r="P176" s="17">
        <f>(H176-B176)*100</f>
        <v/>
      </c>
      <c r="Q176" s="18">
        <f>(P176-$D$12)/$E$12</f>
        <v/>
      </c>
      <c r="R176" s="17">
        <f>J176-J177</f>
        <v/>
      </c>
      <c r="S176" s="17">
        <f>L176-L177</f>
        <v/>
      </c>
      <c r="T176" s="17">
        <f>N176-N177</f>
        <v/>
      </c>
      <c r="U176" s="17">
        <f>P176-P177</f>
        <v/>
      </c>
    </row>
    <row r="177">
      <c r="A177" s="15" t="n">
        <v>46042</v>
      </c>
      <c r="B177" s="16" t="n">
        <v>3.6</v>
      </c>
      <c r="C177" s="17">
        <f>(B177-B178)*100</f>
        <v/>
      </c>
      <c r="D177" s="16" t="n">
        <v>3.68</v>
      </c>
      <c r="E177" s="17">
        <f>(D177-D178)*100</f>
        <v/>
      </c>
      <c r="F177" s="16" t="n">
        <v>4.3</v>
      </c>
      <c r="G177" s="17">
        <f>(F177-F178)*100</f>
        <v/>
      </c>
      <c r="H177" s="16" t="n">
        <v>4.91</v>
      </c>
      <c r="I177" s="17">
        <f>(H177-H178)*100</f>
        <v/>
      </c>
      <c r="J177" s="17">
        <f>(F177-B177)*100</f>
        <v/>
      </c>
      <c r="K177" s="18">
        <f>(J177-$D$9)/$E$9</f>
        <v/>
      </c>
      <c r="L177" s="17">
        <f>(F177-D177)*100</f>
        <v/>
      </c>
      <c r="M177" s="18">
        <f>(L177-$D$10)/$E$10</f>
        <v/>
      </c>
      <c r="N177" s="17">
        <f>(H177-F177)*100</f>
        <v/>
      </c>
      <c r="O177" s="18">
        <f>(N177-$D$11)/$E$11</f>
        <v/>
      </c>
      <c r="P177" s="17">
        <f>(H177-B177)*100</f>
        <v/>
      </c>
      <c r="Q177" s="18">
        <f>(P177-$D$12)/$E$12</f>
        <v/>
      </c>
      <c r="R177" s="17">
        <f>J177-J178</f>
        <v/>
      </c>
      <c r="S177" s="17">
        <f>L177-L178</f>
        <v/>
      </c>
      <c r="T177" s="17">
        <f>N177-N178</f>
        <v/>
      </c>
      <c r="U177" s="17">
        <f>P177-P178</f>
        <v/>
      </c>
    </row>
    <row r="178">
      <c r="A178" s="15" t="n">
        <v>46038</v>
      </c>
      <c r="B178" s="16" t="n">
        <v>3.59</v>
      </c>
      <c r="C178" s="17">
        <f>(B178-B179)*100</f>
        <v/>
      </c>
      <c r="D178" s="16" t="n">
        <v>3.67</v>
      </c>
      <c r="E178" s="17">
        <f>(D178-D179)*100</f>
        <v/>
      </c>
      <c r="F178" s="16" t="n">
        <v>4.24</v>
      </c>
      <c r="G178" s="17">
        <f>(F178-F179)*100</f>
        <v/>
      </c>
      <c r="H178" s="16" t="n">
        <v>4.83</v>
      </c>
      <c r="I178" s="17">
        <f>(H178-H179)*100</f>
        <v/>
      </c>
      <c r="J178" s="17">
        <f>(F178-B178)*100</f>
        <v/>
      </c>
      <c r="K178" s="18">
        <f>(J178-$D$9)/$E$9</f>
        <v/>
      </c>
      <c r="L178" s="17">
        <f>(F178-D178)*100</f>
        <v/>
      </c>
      <c r="M178" s="18">
        <f>(L178-$D$10)/$E$10</f>
        <v/>
      </c>
      <c r="N178" s="17">
        <f>(H178-F178)*100</f>
        <v/>
      </c>
      <c r="O178" s="18">
        <f>(N178-$D$11)/$E$11</f>
        <v/>
      </c>
      <c r="P178" s="17">
        <f>(H178-B178)*100</f>
        <v/>
      </c>
      <c r="Q178" s="18">
        <f>(P178-$D$12)/$E$12</f>
        <v/>
      </c>
      <c r="R178" s="17">
        <f>J178-J179</f>
        <v/>
      </c>
      <c r="S178" s="17">
        <f>L178-L179</f>
        <v/>
      </c>
      <c r="T178" s="17">
        <f>N178-N179</f>
        <v/>
      </c>
      <c r="U178" s="17">
        <f>P178-P179</f>
        <v/>
      </c>
    </row>
    <row r="179">
      <c r="A179" s="15" t="n">
        <v>46037</v>
      </c>
      <c r="B179" s="16" t="n">
        <v>3.56</v>
      </c>
      <c r="C179" s="17">
        <f>(B179-B180)*100</f>
        <v/>
      </c>
      <c r="D179" s="16" t="n">
        <v>3.62</v>
      </c>
      <c r="E179" s="17">
        <f>(D179-D180)*100</f>
        <v/>
      </c>
      <c r="F179" s="16" t="n">
        <v>4.17</v>
      </c>
      <c r="G179" s="17">
        <f>(F179-F180)*100</f>
        <v/>
      </c>
      <c r="H179" s="16" t="n">
        <v>4.79</v>
      </c>
      <c r="I179" s="17">
        <f>(H179-H180)*100</f>
        <v/>
      </c>
      <c r="J179" s="17">
        <f>(F179-B179)*100</f>
        <v/>
      </c>
      <c r="K179" s="18">
        <f>(J179-$D$9)/$E$9</f>
        <v/>
      </c>
      <c r="L179" s="17">
        <f>(F179-D179)*100</f>
        <v/>
      </c>
      <c r="M179" s="18">
        <f>(L179-$D$10)/$E$10</f>
        <v/>
      </c>
      <c r="N179" s="17">
        <f>(H179-F179)*100</f>
        <v/>
      </c>
      <c r="O179" s="18">
        <f>(N179-$D$11)/$E$11</f>
        <v/>
      </c>
      <c r="P179" s="17">
        <f>(H179-B179)*100</f>
        <v/>
      </c>
      <c r="Q179" s="18">
        <f>(P179-$D$12)/$E$12</f>
        <v/>
      </c>
      <c r="R179" s="17">
        <f>J179-J180</f>
        <v/>
      </c>
      <c r="S179" s="17">
        <f>L179-L180</f>
        <v/>
      </c>
      <c r="T179" s="17">
        <f>N179-N180</f>
        <v/>
      </c>
      <c r="U179" s="17">
        <f>P179-P180</f>
        <v/>
      </c>
    </row>
    <row r="180">
      <c r="A180" s="15" t="n">
        <v>46036</v>
      </c>
      <c r="B180" s="16" t="n">
        <v>3.51</v>
      </c>
      <c r="C180" s="17">
        <f>(B180-B181)*100</f>
        <v/>
      </c>
      <c r="D180" s="16" t="n">
        <v>3.56</v>
      </c>
      <c r="E180" s="17">
        <f>(D180-D181)*100</f>
        <v/>
      </c>
      <c r="F180" s="16" t="n">
        <v>4.15</v>
      </c>
      <c r="G180" s="17">
        <f>(F180-F181)*100</f>
        <v/>
      </c>
      <c r="H180" s="16" t="n">
        <v>4.79</v>
      </c>
      <c r="I180" s="17">
        <f>(H180-H181)*100</f>
        <v/>
      </c>
      <c r="J180" s="17">
        <f>(F180-B180)*100</f>
        <v/>
      </c>
      <c r="K180" s="18">
        <f>(J180-$D$9)/$E$9</f>
        <v/>
      </c>
      <c r="L180" s="17">
        <f>(F180-D180)*100</f>
        <v/>
      </c>
      <c r="M180" s="18">
        <f>(L180-$D$10)/$E$10</f>
        <v/>
      </c>
      <c r="N180" s="17">
        <f>(H180-F180)*100</f>
        <v/>
      </c>
      <c r="O180" s="18">
        <f>(N180-$D$11)/$E$11</f>
        <v/>
      </c>
      <c r="P180" s="17">
        <f>(H180-B180)*100</f>
        <v/>
      </c>
      <c r="Q180" s="18">
        <f>(P180-$D$12)/$E$12</f>
        <v/>
      </c>
      <c r="R180" s="17">
        <f>J180-J181</f>
        <v/>
      </c>
      <c r="S180" s="17">
        <f>L180-L181</f>
        <v/>
      </c>
      <c r="T180" s="17">
        <f>N180-N181</f>
        <v/>
      </c>
      <c r="U180" s="17">
        <f>P180-P181</f>
        <v/>
      </c>
    </row>
    <row r="181">
      <c r="A181" s="15" t="n">
        <v>46035</v>
      </c>
      <c r="B181" s="16" t="n">
        <v>3.53</v>
      </c>
      <c r="C181" s="17">
        <f>(B181-B182)*100</f>
        <v/>
      </c>
      <c r="D181" s="16" t="n">
        <v>3.57</v>
      </c>
      <c r="E181" s="17">
        <f>(D181-D182)*100</f>
        <v/>
      </c>
      <c r="F181" s="16" t="n">
        <v>4.18</v>
      </c>
      <c r="G181" s="17">
        <f>(F181-F182)*100</f>
        <v/>
      </c>
      <c r="H181" s="16" t="n">
        <v>4.83</v>
      </c>
      <c r="I181" s="17">
        <f>(H181-H182)*100</f>
        <v/>
      </c>
      <c r="J181" s="17">
        <f>(F181-B181)*100</f>
        <v/>
      </c>
      <c r="K181" s="18">
        <f>(J181-$D$9)/$E$9</f>
        <v/>
      </c>
      <c r="L181" s="17">
        <f>(F181-D181)*100</f>
        <v/>
      </c>
      <c r="M181" s="18">
        <f>(L181-$D$10)/$E$10</f>
        <v/>
      </c>
      <c r="N181" s="17">
        <f>(H181-F181)*100</f>
        <v/>
      </c>
      <c r="O181" s="18">
        <f>(N181-$D$11)/$E$11</f>
        <v/>
      </c>
      <c r="P181" s="17">
        <f>(H181-B181)*100</f>
        <v/>
      </c>
      <c r="Q181" s="18">
        <f>(P181-$D$12)/$E$12</f>
        <v/>
      </c>
      <c r="R181" s="17">
        <f>J181-J182</f>
        <v/>
      </c>
      <c r="S181" s="17">
        <f>L181-L182</f>
        <v/>
      </c>
      <c r="T181" s="17">
        <f>N181-N182</f>
        <v/>
      </c>
      <c r="U181" s="17">
        <f>P181-P182</f>
        <v/>
      </c>
    </row>
    <row r="182">
      <c r="A182" s="15" t="n">
        <v>46034</v>
      </c>
      <c r="B182" s="16" t="n">
        <v>3.54</v>
      </c>
      <c r="C182" s="17">
        <f>(B182-B183)*100</f>
        <v/>
      </c>
      <c r="D182" s="16" t="n">
        <v>3.59</v>
      </c>
      <c r="E182" s="17">
        <f>(D182-D183)*100</f>
        <v/>
      </c>
      <c r="F182" s="16" t="n">
        <v>4.19</v>
      </c>
      <c r="G182" s="17">
        <f>(F182-F183)*100</f>
        <v/>
      </c>
      <c r="H182" s="16" t="n">
        <v>4.83</v>
      </c>
      <c r="I182" s="17">
        <f>(H182-H183)*100</f>
        <v/>
      </c>
      <c r="J182" s="17">
        <f>(F182-B182)*100</f>
        <v/>
      </c>
      <c r="K182" s="18">
        <f>(J182-$D$9)/$E$9</f>
        <v/>
      </c>
      <c r="L182" s="17">
        <f>(F182-D182)*100</f>
        <v/>
      </c>
      <c r="M182" s="18">
        <f>(L182-$D$10)/$E$10</f>
        <v/>
      </c>
      <c r="N182" s="17">
        <f>(H182-F182)*100</f>
        <v/>
      </c>
      <c r="O182" s="18">
        <f>(N182-$D$11)/$E$11</f>
        <v/>
      </c>
      <c r="P182" s="17">
        <f>(H182-B182)*100</f>
        <v/>
      </c>
      <c r="Q182" s="18">
        <f>(P182-$D$12)/$E$12</f>
        <v/>
      </c>
      <c r="R182" s="17">
        <f>J182-J183</f>
        <v/>
      </c>
      <c r="S182" s="17">
        <f>L182-L183</f>
        <v/>
      </c>
      <c r="T182" s="17">
        <f>N182-N183</f>
        <v/>
      </c>
      <c r="U182" s="17">
        <f>P182-P183</f>
        <v/>
      </c>
    </row>
    <row r="183">
      <c r="A183" s="15" t="n">
        <v>46031</v>
      </c>
      <c r="B183" s="16" t="n">
        <v>3.54</v>
      </c>
      <c r="C183" s="17">
        <f>(B183-B184)*100</f>
        <v/>
      </c>
      <c r="D183" s="16" t="n">
        <v>3.59</v>
      </c>
      <c r="E183" s="17">
        <f>(D183-D184)*100</f>
        <v/>
      </c>
      <c r="F183" s="16" t="n">
        <v>4.18</v>
      </c>
      <c r="G183" s="17">
        <f>(F183-F184)*100</f>
        <v/>
      </c>
      <c r="H183" s="16" t="n">
        <v>4.82</v>
      </c>
      <c r="I183" s="17">
        <f>(H183-H184)*100</f>
        <v/>
      </c>
      <c r="J183" s="17">
        <f>(F183-B183)*100</f>
        <v/>
      </c>
      <c r="K183" s="18">
        <f>(J183-$D$9)/$E$9</f>
        <v/>
      </c>
      <c r="L183" s="17">
        <f>(F183-D183)*100</f>
        <v/>
      </c>
      <c r="M183" s="18">
        <f>(L183-$D$10)/$E$10</f>
        <v/>
      </c>
      <c r="N183" s="17">
        <f>(H183-F183)*100</f>
        <v/>
      </c>
      <c r="O183" s="18">
        <f>(N183-$D$11)/$E$11</f>
        <v/>
      </c>
      <c r="P183" s="17">
        <f>(H183-B183)*100</f>
        <v/>
      </c>
      <c r="Q183" s="18">
        <f>(P183-$D$12)/$E$12</f>
        <v/>
      </c>
      <c r="R183" s="17">
        <f>J183-J184</f>
        <v/>
      </c>
      <c r="S183" s="17">
        <f>L183-L184</f>
        <v/>
      </c>
      <c r="T183" s="17">
        <f>N183-N184</f>
        <v/>
      </c>
      <c r="U183" s="17">
        <f>P183-P184</f>
        <v/>
      </c>
    </row>
    <row r="184">
      <c r="A184" s="15" t="n">
        <v>46030</v>
      </c>
      <c r="B184" s="16" t="n">
        <v>3.49</v>
      </c>
      <c r="C184" s="17">
        <f>(B184-B185)*100</f>
        <v/>
      </c>
      <c r="D184" s="16" t="n">
        <v>3.56</v>
      </c>
      <c r="E184" s="17">
        <f>(D184-D185)*100</f>
        <v/>
      </c>
      <c r="F184" s="16" t="n">
        <v>4.19</v>
      </c>
      <c r="G184" s="17">
        <f>(F184-F185)*100</f>
        <v/>
      </c>
      <c r="H184" s="16" t="n">
        <v>4.85</v>
      </c>
      <c r="I184" s="17">
        <f>(H184-H185)*100</f>
        <v/>
      </c>
      <c r="J184" s="17">
        <f>(F184-B184)*100</f>
        <v/>
      </c>
      <c r="K184" s="18">
        <f>(J184-$D$9)/$E$9</f>
        <v/>
      </c>
      <c r="L184" s="17">
        <f>(F184-D184)*100</f>
        <v/>
      </c>
      <c r="M184" s="18">
        <f>(L184-$D$10)/$E$10</f>
        <v/>
      </c>
      <c r="N184" s="17">
        <f>(H184-F184)*100</f>
        <v/>
      </c>
      <c r="O184" s="18">
        <f>(N184-$D$11)/$E$11</f>
        <v/>
      </c>
      <c r="P184" s="17">
        <f>(H184-B184)*100</f>
        <v/>
      </c>
      <c r="Q184" s="18">
        <f>(P184-$D$12)/$E$12</f>
        <v/>
      </c>
      <c r="R184" s="17">
        <f>J184-J185</f>
        <v/>
      </c>
      <c r="S184" s="17">
        <f>L184-L185</f>
        <v/>
      </c>
      <c r="T184" s="17">
        <f>N184-N185</f>
        <v/>
      </c>
      <c r="U184" s="17">
        <f>P184-P185</f>
        <v/>
      </c>
    </row>
    <row r="185">
      <c r="A185" s="15" t="n">
        <v>46029</v>
      </c>
      <c r="B185" s="16" t="n">
        <v>3.47</v>
      </c>
      <c r="C185" s="17">
        <f>(B185-B186)*100</f>
        <v/>
      </c>
      <c r="D185" s="16" t="n">
        <v>3.53</v>
      </c>
      <c r="E185" s="17">
        <f>(D185-D186)*100</f>
        <v/>
      </c>
      <c r="F185" s="16" t="n">
        <v>4.15</v>
      </c>
      <c r="G185" s="17">
        <f>(F185-F186)*100</f>
        <v/>
      </c>
      <c r="H185" s="16" t="n">
        <v>4.82</v>
      </c>
      <c r="I185" s="17">
        <f>(H185-H186)*100</f>
        <v/>
      </c>
      <c r="J185" s="17">
        <f>(F185-B185)*100</f>
        <v/>
      </c>
      <c r="K185" s="18">
        <f>(J185-$D$9)/$E$9</f>
        <v/>
      </c>
      <c r="L185" s="17">
        <f>(F185-D185)*100</f>
        <v/>
      </c>
      <c r="M185" s="18">
        <f>(L185-$D$10)/$E$10</f>
        <v/>
      </c>
      <c r="N185" s="17">
        <f>(H185-F185)*100</f>
        <v/>
      </c>
      <c r="O185" s="18">
        <f>(N185-$D$11)/$E$11</f>
        <v/>
      </c>
      <c r="P185" s="17">
        <f>(H185-B185)*100</f>
        <v/>
      </c>
      <c r="Q185" s="18">
        <f>(P185-$D$12)/$E$12</f>
        <v/>
      </c>
      <c r="R185" s="17">
        <f>J185-J186</f>
        <v/>
      </c>
      <c r="S185" s="17">
        <f>L185-L186</f>
        <v/>
      </c>
      <c r="T185" s="17">
        <f>N185-N186</f>
        <v/>
      </c>
      <c r="U185" s="17">
        <f>P185-P186</f>
        <v/>
      </c>
    </row>
    <row r="186">
      <c r="A186" s="15" t="n">
        <v>46028</v>
      </c>
      <c r="B186" s="16" t="n">
        <v>3.47</v>
      </c>
      <c r="C186" s="17">
        <f>(B186-B187)*100</f>
        <v/>
      </c>
      <c r="D186" s="16" t="n">
        <v>3.54</v>
      </c>
      <c r="E186" s="17">
        <f>(D186-D187)*100</f>
        <v/>
      </c>
      <c r="F186" s="16" t="n">
        <v>4.18</v>
      </c>
      <c r="G186" s="17">
        <f>(F186-F187)*100</f>
        <v/>
      </c>
      <c r="H186" s="16" t="n">
        <v>4.86</v>
      </c>
      <c r="I186" s="17">
        <f>(H186-H187)*100</f>
        <v/>
      </c>
      <c r="J186" s="17">
        <f>(F186-B186)*100</f>
        <v/>
      </c>
      <c r="K186" s="18">
        <f>(J186-$D$9)/$E$9</f>
        <v/>
      </c>
      <c r="L186" s="17">
        <f>(F186-D186)*100</f>
        <v/>
      </c>
      <c r="M186" s="18">
        <f>(L186-$D$10)/$E$10</f>
        <v/>
      </c>
      <c r="N186" s="17">
        <f>(H186-F186)*100</f>
        <v/>
      </c>
      <c r="O186" s="18">
        <f>(N186-$D$11)/$E$11</f>
        <v/>
      </c>
      <c r="P186" s="17">
        <f>(H186-B186)*100</f>
        <v/>
      </c>
      <c r="Q186" s="18">
        <f>(P186-$D$12)/$E$12</f>
        <v/>
      </c>
      <c r="R186" s="17">
        <f>J186-J187</f>
        <v/>
      </c>
      <c r="S186" s="17">
        <f>L186-L187</f>
        <v/>
      </c>
      <c r="T186" s="17">
        <f>N186-N187</f>
        <v/>
      </c>
      <c r="U186" s="17">
        <f>P186-P187</f>
        <v/>
      </c>
    </row>
    <row r="187">
      <c r="A187" s="15" t="n">
        <v>46027</v>
      </c>
      <c r="B187" s="16" t="n">
        <v>3.46</v>
      </c>
      <c r="C187" s="17">
        <f>(B187-B188)*100</f>
        <v/>
      </c>
      <c r="D187" s="16" t="n">
        <v>3.53</v>
      </c>
      <c r="E187" s="17">
        <f>(D187-D188)*100</f>
        <v/>
      </c>
      <c r="F187" s="16" t="n">
        <v>4.17</v>
      </c>
      <c r="G187" s="17">
        <f>(F187-F188)*100</f>
        <v/>
      </c>
      <c r="H187" s="16" t="n">
        <v>4.85</v>
      </c>
      <c r="I187" s="17">
        <f>(H187-H188)*100</f>
        <v/>
      </c>
      <c r="J187" s="17">
        <f>(F187-B187)*100</f>
        <v/>
      </c>
      <c r="K187" s="18">
        <f>(J187-$D$9)/$E$9</f>
        <v/>
      </c>
      <c r="L187" s="17">
        <f>(F187-D187)*100</f>
        <v/>
      </c>
      <c r="M187" s="18">
        <f>(L187-$D$10)/$E$10</f>
        <v/>
      </c>
      <c r="N187" s="17">
        <f>(H187-F187)*100</f>
        <v/>
      </c>
      <c r="O187" s="18">
        <f>(N187-$D$11)/$E$11</f>
        <v/>
      </c>
      <c r="P187" s="17">
        <f>(H187-B187)*100</f>
        <v/>
      </c>
      <c r="Q187" s="18">
        <f>(P187-$D$12)/$E$12</f>
        <v/>
      </c>
      <c r="R187" s="17">
        <f>J187-J188</f>
        <v/>
      </c>
      <c r="S187" s="17">
        <f>L187-L188</f>
        <v/>
      </c>
      <c r="T187" s="17">
        <f>N187-N188</f>
        <v/>
      </c>
      <c r="U187" s="17">
        <f>P187-P188</f>
        <v/>
      </c>
    </row>
    <row r="188">
      <c r="A188" s="15" t="n">
        <v>46024</v>
      </c>
      <c r="B188" s="16" t="n">
        <v>3.47</v>
      </c>
      <c r="C188" s="17">
        <f>(B188-B189)*100</f>
        <v/>
      </c>
      <c r="D188" s="16" t="n">
        <v>3.55</v>
      </c>
      <c r="E188" s="17">
        <f>(D188-D189)*100</f>
        <v/>
      </c>
      <c r="F188" s="16" t="n">
        <v>4.19</v>
      </c>
      <c r="G188" s="17">
        <f>(F188-F189)*100</f>
        <v/>
      </c>
      <c r="H188" s="16" t="n">
        <v>4.86</v>
      </c>
      <c r="I188" s="17">
        <f>(H188-H189)*100</f>
        <v/>
      </c>
      <c r="J188" s="17">
        <f>(F188-B188)*100</f>
        <v/>
      </c>
      <c r="K188" s="18">
        <f>(J188-$D$9)/$E$9</f>
        <v/>
      </c>
      <c r="L188" s="17">
        <f>(F188-D188)*100</f>
        <v/>
      </c>
      <c r="M188" s="18">
        <f>(L188-$D$10)/$E$10</f>
        <v/>
      </c>
      <c r="N188" s="17">
        <f>(H188-F188)*100</f>
        <v/>
      </c>
      <c r="O188" s="18">
        <f>(N188-$D$11)/$E$11</f>
        <v/>
      </c>
      <c r="P188" s="17">
        <f>(H188-B188)*100</f>
        <v/>
      </c>
      <c r="Q188" s="18">
        <f>(P188-$D$12)/$E$12</f>
        <v/>
      </c>
      <c r="R188" s="17">
        <f>J188-J189</f>
        <v/>
      </c>
      <c r="S188" s="17">
        <f>L188-L189</f>
        <v/>
      </c>
      <c r="T188" s="17">
        <f>N188-N189</f>
        <v/>
      </c>
      <c r="U188" s="17">
        <f>P188-P189</f>
        <v/>
      </c>
    </row>
    <row r="189">
      <c r="A189" s="15" t="n">
        <v>46022</v>
      </c>
      <c r="B189" s="16" t="n">
        <v>3.47</v>
      </c>
      <c r="C189" s="17">
        <f>(B189-B190)*100</f>
        <v/>
      </c>
      <c r="D189" s="16" t="n">
        <v>3.55</v>
      </c>
      <c r="E189" s="17">
        <f>(D189-D190)*100</f>
        <v/>
      </c>
      <c r="F189" s="16" t="n">
        <v>4.18</v>
      </c>
      <c r="G189" s="17">
        <f>(F189-F190)*100</f>
        <v/>
      </c>
      <c r="H189" s="16" t="n">
        <v>4.84</v>
      </c>
      <c r="I189" s="17">
        <f>(H189-H190)*100</f>
        <v/>
      </c>
      <c r="J189" s="17">
        <f>(F189-B189)*100</f>
        <v/>
      </c>
      <c r="K189" s="18">
        <f>(J189-$D$9)/$E$9</f>
        <v/>
      </c>
      <c r="L189" s="17">
        <f>(F189-D189)*100</f>
        <v/>
      </c>
      <c r="M189" s="18">
        <f>(L189-$D$10)/$E$10</f>
        <v/>
      </c>
      <c r="N189" s="17">
        <f>(H189-F189)*100</f>
        <v/>
      </c>
      <c r="O189" s="18">
        <f>(N189-$D$11)/$E$11</f>
        <v/>
      </c>
      <c r="P189" s="17">
        <f>(H189-B189)*100</f>
        <v/>
      </c>
      <c r="Q189" s="18">
        <f>(P189-$D$12)/$E$12</f>
        <v/>
      </c>
      <c r="R189" s="17">
        <f>J189-J190</f>
        <v/>
      </c>
      <c r="S189" s="17">
        <f>L189-L190</f>
        <v/>
      </c>
      <c r="T189" s="17">
        <f>N189-N190</f>
        <v/>
      </c>
      <c r="U189" s="17">
        <f>P189-P190</f>
        <v/>
      </c>
    </row>
    <row r="190">
      <c r="A190" s="15" t="n">
        <v>46021</v>
      </c>
      <c r="B190" s="16" t="n">
        <v>3.45</v>
      </c>
      <c r="C190" s="17">
        <f>(B190-B191)*100</f>
        <v/>
      </c>
      <c r="D190" s="16" t="n">
        <v>3.5</v>
      </c>
      <c r="E190" s="17">
        <f>(D190-D191)*100</f>
        <v/>
      </c>
      <c r="F190" s="16" t="n">
        <v>4.14</v>
      </c>
      <c r="G190" s="17">
        <f>(F190-F191)*100</f>
        <v/>
      </c>
      <c r="H190" s="16" t="n">
        <v>4.81</v>
      </c>
      <c r="I190" s="17">
        <f>(H190-H191)*100</f>
        <v/>
      </c>
      <c r="J190" s="17">
        <f>(F190-B190)*100</f>
        <v/>
      </c>
      <c r="K190" s="18">
        <f>(J190-$D$9)/$E$9</f>
        <v/>
      </c>
      <c r="L190" s="17">
        <f>(F190-D190)*100</f>
        <v/>
      </c>
      <c r="M190" s="18">
        <f>(L190-$D$10)/$E$10</f>
        <v/>
      </c>
      <c r="N190" s="17">
        <f>(H190-F190)*100</f>
        <v/>
      </c>
      <c r="O190" s="18">
        <f>(N190-$D$11)/$E$11</f>
        <v/>
      </c>
      <c r="P190" s="17">
        <f>(H190-B190)*100</f>
        <v/>
      </c>
      <c r="Q190" s="18">
        <f>(P190-$D$12)/$E$12</f>
        <v/>
      </c>
      <c r="R190" s="17">
        <f>J190-J191</f>
        <v/>
      </c>
      <c r="S190" s="17">
        <f>L190-L191</f>
        <v/>
      </c>
      <c r="T190" s="17">
        <f>N190-N191</f>
        <v/>
      </c>
      <c r="U190" s="17">
        <f>P190-P191</f>
        <v/>
      </c>
    </row>
    <row r="191">
      <c r="A191" s="15" t="n">
        <v>46020</v>
      </c>
      <c r="B191" s="16" t="n">
        <v>3.45</v>
      </c>
      <c r="C191" s="17">
        <f>(B191-B192)*100</f>
        <v/>
      </c>
      <c r="D191" s="16" t="n">
        <v>3.51</v>
      </c>
      <c r="E191" s="17">
        <f>(D191-D192)*100</f>
        <v/>
      </c>
      <c r="F191" s="16" t="n">
        <v>4.12</v>
      </c>
      <c r="G191" s="17">
        <f>(F191-F192)*100</f>
        <v/>
      </c>
      <c r="H191" s="16" t="n">
        <v>4.8</v>
      </c>
      <c r="I191" s="17">
        <f>(H191-H192)*100</f>
        <v/>
      </c>
      <c r="J191" s="17">
        <f>(F191-B191)*100</f>
        <v/>
      </c>
      <c r="K191" s="18">
        <f>(J191-$D$9)/$E$9</f>
        <v/>
      </c>
      <c r="L191" s="17">
        <f>(F191-D191)*100</f>
        <v/>
      </c>
      <c r="M191" s="18">
        <f>(L191-$D$10)/$E$10</f>
        <v/>
      </c>
      <c r="N191" s="17">
        <f>(H191-F191)*100</f>
        <v/>
      </c>
      <c r="O191" s="18">
        <f>(N191-$D$11)/$E$11</f>
        <v/>
      </c>
      <c r="P191" s="17">
        <f>(H191-B191)*100</f>
        <v/>
      </c>
      <c r="Q191" s="18">
        <f>(P191-$D$12)/$E$12</f>
        <v/>
      </c>
      <c r="R191" s="17">
        <f>J191-J192</f>
        <v/>
      </c>
      <c r="S191" s="17">
        <f>L191-L192</f>
        <v/>
      </c>
      <c r="T191" s="17">
        <f>N191-N192</f>
        <v/>
      </c>
      <c r="U191" s="17">
        <f>P191-P192</f>
        <v/>
      </c>
    </row>
    <row r="192">
      <c r="A192" s="15" t="n">
        <v>46017</v>
      </c>
      <c r="B192" s="16" t="n">
        <v>3.46</v>
      </c>
      <c r="C192" s="17">
        <f>(B192-B193)*100</f>
        <v/>
      </c>
      <c r="D192" s="16" t="n">
        <v>3.54</v>
      </c>
      <c r="E192" s="17">
        <f>(D192-D193)*100</f>
        <v/>
      </c>
      <c r="F192" s="16" t="n">
        <v>4.14</v>
      </c>
      <c r="G192" s="17">
        <f>(F192-F193)*100</f>
        <v/>
      </c>
      <c r="H192" s="16" t="n">
        <v>4.81</v>
      </c>
      <c r="I192" s="17">
        <f>(H192-H193)*100</f>
        <v/>
      </c>
      <c r="J192" s="17">
        <f>(F192-B192)*100</f>
        <v/>
      </c>
      <c r="K192" s="18">
        <f>(J192-$D$9)/$E$9</f>
        <v/>
      </c>
      <c r="L192" s="17">
        <f>(F192-D192)*100</f>
        <v/>
      </c>
      <c r="M192" s="18">
        <f>(L192-$D$10)/$E$10</f>
        <v/>
      </c>
      <c r="N192" s="17">
        <f>(H192-F192)*100</f>
        <v/>
      </c>
      <c r="O192" s="18">
        <f>(N192-$D$11)/$E$11</f>
        <v/>
      </c>
      <c r="P192" s="17">
        <f>(H192-B192)*100</f>
        <v/>
      </c>
      <c r="Q192" s="18">
        <f>(P192-$D$12)/$E$12</f>
        <v/>
      </c>
      <c r="R192" s="17">
        <f>J192-J193</f>
        <v/>
      </c>
      <c r="S192" s="17">
        <f>L192-L193</f>
        <v/>
      </c>
      <c r="T192" s="17">
        <f>N192-N193</f>
        <v/>
      </c>
      <c r="U192" s="17">
        <f>P192-P193</f>
        <v/>
      </c>
    </row>
    <row r="193">
      <c r="A193" s="15" t="n">
        <v>46015</v>
      </c>
      <c r="B193" s="16" t="n">
        <v>3.47</v>
      </c>
      <c r="C193" s="17">
        <f>(B193-B194)*100</f>
        <v/>
      </c>
      <c r="D193" s="16" t="n">
        <v>3.56</v>
      </c>
      <c r="E193" s="17">
        <f>(D193-D194)*100</f>
        <v/>
      </c>
      <c r="F193" s="16" t="n">
        <v>4.15</v>
      </c>
      <c r="G193" s="17">
        <f>(F193-F194)*100</f>
        <v/>
      </c>
      <c r="H193" s="16" t="n">
        <v>4.79</v>
      </c>
      <c r="I193" s="17">
        <f>(H193-H194)*100</f>
        <v/>
      </c>
      <c r="J193" s="17">
        <f>(F193-B193)*100</f>
        <v/>
      </c>
      <c r="K193" s="18">
        <f>(J193-$D$9)/$E$9</f>
        <v/>
      </c>
      <c r="L193" s="17">
        <f>(F193-D193)*100</f>
        <v/>
      </c>
      <c r="M193" s="18">
        <f>(L193-$D$10)/$E$10</f>
        <v/>
      </c>
      <c r="N193" s="17">
        <f>(H193-F193)*100</f>
        <v/>
      </c>
      <c r="O193" s="18">
        <f>(N193-$D$11)/$E$11</f>
        <v/>
      </c>
      <c r="P193" s="17">
        <f>(H193-B193)*100</f>
        <v/>
      </c>
      <c r="Q193" s="18">
        <f>(P193-$D$12)/$E$12</f>
        <v/>
      </c>
      <c r="R193" s="17">
        <f>J193-J194</f>
        <v/>
      </c>
      <c r="S193" s="17">
        <f>L193-L194</f>
        <v/>
      </c>
      <c r="T193" s="17">
        <f>N193-N194</f>
        <v/>
      </c>
      <c r="U193" s="17">
        <f>P193-P194</f>
        <v/>
      </c>
    </row>
    <row r="194">
      <c r="A194" s="15" t="n">
        <v>46014</v>
      </c>
      <c r="B194" s="16" t="n">
        <v>3.48</v>
      </c>
      <c r="C194" s="17">
        <f>(B194-B195)*100</f>
        <v/>
      </c>
      <c r="D194" s="16" t="n">
        <v>3.58</v>
      </c>
      <c r="E194" s="17">
        <f>(D194-D195)*100</f>
        <v/>
      </c>
      <c r="F194" s="16" t="n">
        <v>4.18</v>
      </c>
      <c r="G194" s="17">
        <f>(F194-F195)*100</f>
        <v/>
      </c>
      <c r="H194" s="16" t="n">
        <v>4.83</v>
      </c>
      <c r="I194" s="17">
        <f>(H194-H195)*100</f>
        <v/>
      </c>
      <c r="J194" s="17">
        <f>(F194-B194)*100</f>
        <v/>
      </c>
      <c r="K194" s="18">
        <f>(J194-$D$9)/$E$9</f>
        <v/>
      </c>
      <c r="L194" s="17">
        <f>(F194-D194)*100</f>
        <v/>
      </c>
      <c r="M194" s="18">
        <f>(L194-$D$10)/$E$10</f>
        <v/>
      </c>
      <c r="N194" s="17">
        <f>(H194-F194)*100</f>
        <v/>
      </c>
      <c r="O194" s="18">
        <f>(N194-$D$11)/$E$11</f>
        <v/>
      </c>
      <c r="P194" s="17">
        <f>(H194-B194)*100</f>
        <v/>
      </c>
      <c r="Q194" s="18">
        <f>(P194-$D$12)/$E$12</f>
        <v/>
      </c>
      <c r="R194" s="17">
        <f>J194-J195</f>
        <v/>
      </c>
      <c r="S194" s="17">
        <f>L194-L195</f>
        <v/>
      </c>
      <c r="T194" s="17">
        <f>N194-N195</f>
        <v/>
      </c>
      <c r="U194" s="17">
        <f>P194-P195</f>
        <v/>
      </c>
    </row>
    <row r="195">
      <c r="A195" s="15" t="n">
        <v>46013</v>
      </c>
      <c r="B195" s="16" t="n">
        <v>3.44</v>
      </c>
      <c r="C195" s="17">
        <f>(B195-B196)*100</f>
        <v/>
      </c>
      <c r="D195" s="16" t="n">
        <v>3.56</v>
      </c>
      <c r="E195" s="17">
        <f>(D195-D196)*100</f>
        <v/>
      </c>
      <c r="F195" s="16" t="n">
        <v>4.17</v>
      </c>
      <c r="G195" s="17">
        <f>(F195-F196)*100</f>
        <v/>
      </c>
      <c r="H195" s="16" t="n">
        <v>4.84</v>
      </c>
      <c r="I195" s="17">
        <f>(H195-H196)*100</f>
        <v/>
      </c>
      <c r="J195" s="17">
        <f>(F195-B195)*100</f>
        <v/>
      </c>
      <c r="K195" s="18">
        <f>(J195-$D$9)/$E$9</f>
        <v/>
      </c>
      <c r="L195" s="17">
        <f>(F195-D195)*100</f>
        <v/>
      </c>
      <c r="M195" s="18">
        <f>(L195-$D$10)/$E$10</f>
        <v/>
      </c>
      <c r="N195" s="17">
        <f>(H195-F195)*100</f>
        <v/>
      </c>
      <c r="O195" s="18">
        <f>(N195-$D$11)/$E$11</f>
        <v/>
      </c>
      <c r="P195" s="17">
        <f>(H195-B195)*100</f>
        <v/>
      </c>
      <c r="Q195" s="18">
        <f>(P195-$D$12)/$E$12</f>
        <v/>
      </c>
      <c r="R195" s="17">
        <f>J195-J196</f>
        <v/>
      </c>
      <c r="S195" s="17">
        <f>L195-L196</f>
        <v/>
      </c>
      <c r="T195" s="17">
        <f>N195-N196</f>
        <v/>
      </c>
      <c r="U195" s="17">
        <f>P195-P196</f>
        <v/>
      </c>
    </row>
    <row r="196">
      <c r="A196" s="15" t="n">
        <v>46010</v>
      </c>
      <c r="B196" s="16" t="n">
        <v>3.48</v>
      </c>
      <c r="C196" s="17">
        <f>(B196-B197)*100</f>
        <v/>
      </c>
      <c r="D196" s="16" t="n">
        <v>3.53</v>
      </c>
      <c r="E196" s="17">
        <f>(D196-D197)*100</f>
        <v/>
      </c>
      <c r="F196" s="16" t="n">
        <v>4.16</v>
      </c>
      <c r="G196" s="17">
        <f>(F196-F197)*100</f>
        <v/>
      </c>
      <c r="H196" s="16" t="n">
        <v>4.82</v>
      </c>
      <c r="I196" s="17">
        <f>(H196-H197)*100</f>
        <v/>
      </c>
      <c r="J196" s="17">
        <f>(F196-B196)*100</f>
        <v/>
      </c>
      <c r="K196" s="18">
        <f>(J196-$D$9)/$E$9</f>
        <v/>
      </c>
      <c r="L196" s="17">
        <f>(F196-D196)*100</f>
        <v/>
      </c>
      <c r="M196" s="18">
        <f>(L196-$D$10)/$E$10</f>
        <v/>
      </c>
      <c r="N196" s="17">
        <f>(H196-F196)*100</f>
        <v/>
      </c>
      <c r="O196" s="18">
        <f>(N196-$D$11)/$E$11</f>
        <v/>
      </c>
      <c r="P196" s="17">
        <f>(H196-B196)*100</f>
        <v/>
      </c>
      <c r="Q196" s="18">
        <f>(P196-$D$12)/$E$12</f>
        <v/>
      </c>
      <c r="R196" s="17">
        <f>J196-J197</f>
        <v/>
      </c>
      <c r="S196" s="17">
        <f>L196-L197</f>
        <v/>
      </c>
      <c r="T196" s="17">
        <f>N196-N197</f>
        <v/>
      </c>
      <c r="U196" s="17">
        <f>P196-P197</f>
        <v/>
      </c>
    </row>
    <row r="197">
      <c r="A197" s="15" t="n">
        <v>46009</v>
      </c>
      <c r="B197" s="16" t="n">
        <v>3.46</v>
      </c>
      <c r="C197" s="17">
        <f>(B197-B198)*100</f>
        <v/>
      </c>
      <c r="D197" s="16" t="n">
        <v>3.5</v>
      </c>
      <c r="E197" s="17">
        <f>(D197-D198)*100</f>
        <v/>
      </c>
      <c r="F197" s="16" t="n">
        <v>4.12</v>
      </c>
      <c r="G197" s="17">
        <f>(F197-F198)*100</f>
        <v/>
      </c>
      <c r="H197" s="16" t="n">
        <v>4.8</v>
      </c>
      <c r="I197" s="17">
        <f>(H197-H198)*100</f>
        <v/>
      </c>
      <c r="J197" s="17">
        <f>(F197-B197)*100</f>
        <v/>
      </c>
      <c r="K197" s="18">
        <f>(J197-$D$9)/$E$9</f>
        <v/>
      </c>
      <c r="L197" s="17">
        <f>(F197-D197)*100</f>
        <v/>
      </c>
      <c r="M197" s="18">
        <f>(L197-$D$10)/$E$10</f>
        <v/>
      </c>
      <c r="N197" s="17">
        <f>(H197-F197)*100</f>
        <v/>
      </c>
      <c r="O197" s="18">
        <f>(N197-$D$11)/$E$11</f>
        <v/>
      </c>
      <c r="P197" s="17">
        <f>(H197-B197)*100</f>
        <v/>
      </c>
      <c r="Q197" s="18">
        <f>(P197-$D$12)/$E$12</f>
        <v/>
      </c>
      <c r="R197" s="17">
        <f>J197-J198</f>
        <v/>
      </c>
      <c r="S197" s="17">
        <f>L197-L198</f>
        <v/>
      </c>
      <c r="T197" s="17">
        <f>N197-N198</f>
        <v/>
      </c>
      <c r="U197" s="17">
        <f>P197-P198</f>
        <v/>
      </c>
    </row>
    <row r="198">
      <c r="A198" s="15" t="n">
        <v>46008</v>
      </c>
      <c r="B198" s="16" t="n">
        <v>3.49</v>
      </c>
      <c r="C198" s="17">
        <f>(B198-B199)*100</f>
        <v/>
      </c>
      <c r="D198" s="16" t="n">
        <v>3.53</v>
      </c>
      <c r="E198" s="17">
        <f>(D198-D199)*100</f>
        <v/>
      </c>
      <c r="F198" s="16" t="n">
        <v>4.16</v>
      </c>
      <c r="G198" s="17">
        <f>(F198-F199)*100</f>
        <v/>
      </c>
      <c r="H198" s="16" t="n">
        <v>4.83</v>
      </c>
      <c r="I198" s="17">
        <f>(H198-H199)*100</f>
        <v/>
      </c>
      <c r="J198" s="17">
        <f>(F198-B198)*100</f>
        <v/>
      </c>
      <c r="K198" s="18">
        <f>(J198-$D$9)/$E$9</f>
        <v/>
      </c>
      <c r="L198" s="17">
        <f>(F198-D198)*100</f>
        <v/>
      </c>
      <c r="M198" s="18">
        <f>(L198-$D$10)/$E$10</f>
        <v/>
      </c>
      <c r="N198" s="17">
        <f>(H198-F198)*100</f>
        <v/>
      </c>
      <c r="O198" s="18">
        <f>(N198-$D$11)/$E$11</f>
        <v/>
      </c>
      <c r="P198" s="17">
        <f>(H198-B198)*100</f>
        <v/>
      </c>
      <c r="Q198" s="18">
        <f>(P198-$D$12)/$E$12</f>
        <v/>
      </c>
      <c r="R198" s="17">
        <f>J198-J199</f>
        <v/>
      </c>
      <c r="S198" s="17">
        <f>L198-L199</f>
        <v/>
      </c>
      <c r="T198" s="17">
        <f>N198-N199</f>
        <v/>
      </c>
      <c r="U198" s="17">
        <f>P198-P199</f>
        <v/>
      </c>
    </row>
    <row r="199">
      <c r="A199" s="15" t="n">
        <v>46007</v>
      </c>
      <c r="B199" s="16" t="n">
        <v>3.48</v>
      </c>
      <c r="C199" s="17">
        <f>(B199-B200)*100</f>
        <v/>
      </c>
      <c r="D199" s="16" t="n">
        <v>3.52</v>
      </c>
      <c r="E199" s="17">
        <f>(D199-D200)*100</f>
        <v/>
      </c>
      <c r="F199" s="16" t="n">
        <v>4.15</v>
      </c>
      <c r="G199" s="17">
        <f>(F199-F200)*100</f>
        <v/>
      </c>
      <c r="H199" s="16" t="n">
        <v>4.82</v>
      </c>
      <c r="I199" s="17">
        <f>(H199-H200)*100</f>
        <v/>
      </c>
      <c r="J199" s="17">
        <f>(F199-B199)*100</f>
        <v/>
      </c>
      <c r="K199" s="18">
        <f>(J199-$D$9)/$E$9</f>
        <v/>
      </c>
      <c r="L199" s="17">
        <f>(F199-D199)*100</f>
        <v/>
      </c>
      <c r="M199" s="18">
        <f>(L199-$D$10)/$E$10</f>
        <v/>
      </c>
      <c r="N199" s="17">
        <f>(H199-F199)*100</f>
        <v/>
      </c>
      <c r="O199" s="18">
        <f>(N199-$D$11)/$E$11</f>
        <v/>
      </c>
      <c r="P199" s="17">
        <f>(H199-B199)*100</f>
        <v/>
      </c>
      <c r="Q199" s="18">
        <f>(P199-$D$12)/$E$12</f>
        <v/>
      </c>
      <c r="R199" s="17">
        <f>J199-J200</f>
        <v/>
      </c>
      <c r="S199" s="17">
        <f>L199-L200</f>
        <v/>
      </c>
      <c r="T199" s="17">
        <f>N199-N200</f>
        <v/>
      </c>
      <c r="U199" s="17">
        <f>P199-P200</f>
        <v/>
      </c>
    </row>
    <row r="200">
      <c r="A200" s="15" t="n">
        <v>46006</v>
      </c>
      <c r="B200" s="16" t="n">
        <v>3.51</v>
      </c>
      <c r="C200" s="17">
        <f>(B200-B201)*100</f>
        <v/>
      </c>
      <c r="D200" s="16" t="n">
        <v>3.56</v>
      </c>
      <c r="E200" s="17">
        <f>(D200-D201)*100</f>
        <v/>
      </c>
      <c r="F200" s="16" t="n">
        <v>4.18</v>
      </c>
      <c r="G200" s="17">
        <f>(F200-F201)*100</f>
        <v/>
      </c>
      <c r="H200" s="16" t="n">
        <v>4.84</v>
      </c>
      <c r="I200" s="17">
        <f>(H200-H201)*100</f>
        <v/>
      </c>
      <c r="J200" s="17">
        <f>(F200-B200)*100</f>
        <v/>
      </c>
      <c r="K200" s="18">
        <f>(J200-$D$9)/$E$9</f>
        <v/>
      </c>
      <c r="L200" s="17">
        <f>(F200-D200)*100</f>
        <v/>
      </c>
      <c r="M200" s="18">
        <f>(L200-$D$10)/$E$10</f>
        <v/>
      </c>
      <c r="N200" s="17">
        <f>(H200-F200)*100</f>
        <v/>
      </c>
      <c r="O200" s="18">
        <f>(N200-$D$11)/$E$11</f>
        <v/>
      </c>
      <c r="P200" s="17">
        <f>(H200-B200)*100</f>
        <v/>
      </c>
      <c r="Q200" s="18">
        <f>(P200-$D$12)/$E$12</f>
        <v/>
      </c>
      <c r="R200" s="17">
        <f>J200-J201</f>
        <v/>
      </c>
      <c r="S200" s="17">
        <f>L200-L201</f>
        <v/>
      </c>
      <c r="T200" s="17">
        <f>N200-N201</f>
        <v/>
      </c>
      <c r="U200" s="17">
        <f>P200-P201</f>
        <v/>
      </c>
    </row>
    <row r="201">
      <c r="A201" s="15" t="n">
        <v>46003</v>
      </c>
      <c r="B201" s="16" t="n">
        <v>3.52</v>
      </c>
      <c r="C201" s="17">
        <f>(B201-B202)*100</f>
        <v/>
      </c>
      <c r="D201" s="16" t="n">
        <v>3.58</v>
      </c>
      <c r="E201" s="17">
        <f>(D201-D202)*100</f>
        <v/>
      </c>
      <c r="F201" s="16" t="n">
        <v>4.19</v>
      </c>
      <c r="G201" s="17">
        <f>(F201-F202)*100</f>
        <v/>
      </c>
      <c r="H201" s="16" t="n">
        <v>4.85</v>
      </c>
      <c r="I201" s="17">
        <f>(H201-H202)*100</f>
        <v/>
      </c>
      <c r="J201" s="17">
        <f>(F201-B201)*100</f>
        <v/>
      </c>
      <c r="K201" s="18">
        <f>(J201-$D$9)/$E$9</f>
        <v/>
      </c>
      <c r="L201" s="17">
        <f>(F201-D201)*100</f>
        <v/>
      </c>
      <c r="M201" s="18">
        <f>(L201-$D$10)/$E$10</f>
        <v/>
      </c>
      <c r="N201" s="17">
        <f>(H201-F201)*100</f>
        <v/>
      </c>
      <c r="O201" s="18">
        <f>(N201-$D$11)/$E$11</f>
        <v/>
      </c>
      <c r="P201" s="17">
        <f>(H201-B201)*100</f>
        <v/>
      </c>
      <c r="Q201" s="18">
        <f>(P201-$D$12)/$E$12</f>
        <v/>
      </c>
      <c r="R201" s="17">
        <f>J201-J202</f>
        <v/>
      </c>
      <c r="S201" s="17">
        <f>L201-L202</f>
        <v/>
      </c>
      <c r="T201" s="17">
        <f>N201-N202</f>
        <v/>
      </c>
      <c r="U201" s="17">
        <f>P201-P202</f>
        <v/>
      </c>
    </row>
    <row r="202">
      <c r="A202" s="15" t="n">
        <v>46002</v>
      </c>
      <c r="B202" s="16" t="n">
        <v>3.52</v>
      </c>
      <c r="C202" s="17">
        <f>(B202-B203)*100</f>
        <v/>
      </c>
      <c r="D202" s="16" t="n">
        <v>3.55</v>
      </c>
      <c r="E202" s="17">
        <f>(D202-D203)*100</f>
        <v/>
      </c>
      <c r="F202" s="16" t="n">
        <v>4.14</v>
      </c>
      <c r="G202" s="17">
        <f>(F202-F203)*100</f>
        <v/>
      </c>
      <c r="H202" s="16" t="n">
        <v>4.79</v>
      </c>
      <c r="I202" s="17">
        <f>(H202-H203)*100</f>
        <v/>
      </c>
      <c r="J202" s="17">
        <f>(F202-B202)*100</f>
        <v/>
      </c>
      <c r="K202" s="18">
        <f>(J202-$D$9)/$E$9</f>
        <v/>
      </c>
      <c r="L202" s="17">
        <f>(F202-D202)*100</f>
        <v/>
      </c>
      <c r="M202" s="18">
        <f>(L202-$D$10)/$E$10</f>
        <v/>
      </c>
      <c r="N202" s="17">
        <f>(H202-F202)*100</f>
        <v/>
      </c>
      <c r="O202" s="18">
        <f>(N202-$D$11)/$E$11</f>
        <v/>
      </c>
      <c r="P202" s="17">
        <f>(H202-B202)*100</f>
        <v/>
      </c>
      <c r="Q202" s="18">
        <f>(P202-$D$12)/$E$12</f>
        <v/>
      </c>
      <c r="R202" s="17">
        <f>J202-J203</f>
        <v/>
      </c>
      <c r="S202" s="17">
        <f>L202-L203</f>
        <v/>
      </c>
      <c r="T202" s="17">
        <f>N202-N203</f>
        <v/>
      </c>
      <c r="U202" s="17">
        <f>P202-P203</f>
        <v/>
      </c>
    </row>
    <row r="203">
      <c r="A203" s="15" t="n">
        <v>46001</v>
      </c>
      <c r="B203" s="16" t="n">
        <v>3.54</v>
      </c>
      <c r="C203" s="17">
        <f>(B203-B204)*100</f>
        <v/>
      </c>
      <c r="D203" s="16" t="n">
        <v>3.56</v>
      </c>
      <c r="E203" s="17">
        <f>(D203-D204)*100</f>
        <v/>
      </c>
      <c r="F203" s="16" t="n">
        <v>4.13</v>
      </c>
      <c r="G203" s="17">
        <f>(F203-F204)*100</f>
        <v/>
      </c>
      <c r="H203" s="16" t="n">
        <v>4.78</v>
      </c>
      <c r="I203" s="17">
        <f>(H203-H204)*100</f>
        <v/>
      </c>
      <c r="J203" s="17">
        <f>(F203-B203)*100</f>
        <v/>
      </c>
      <c r="K203" s="18">
        <f>(J203-$D$9)/$E$9</f>
        <v/>
      </c>
      <c r="L203" s="17">
        <f>(F203-D203)*100</f>
        <v/>
      </c>
      <c r="M203" s="18">
        <f>(L203-$D$10)/$E$10</f>
        <v/>
      </c>
      <c r="N203" s="17">
        <f>(H203-F203)*100</f>
        <v/>
      </c>
      <c r="O203" s="18">
        <f>(N203-$D$11)/$E$11</f>
        <v/>
      </c>
      <c r="P203" s="17">
        <f>(H203-B203)*100</f>
        <v/>
      </c>
      <c r="Q203" s="18">
        <f>(P203-$D$12)/$E$12</f>
        <v/>
      </c>
      <c r="R203" s="17">
        <f>J203-J204</f>
        <v/>
      </c>
      <c r="S203" s="17">
        <f>L203-L204</f>
        <v/>
      </c>
      <c r="T203" s="17">
        <f>N203-N204</f>
        <v/>
      </c>
      <c r="U203" s="17">
        <f>P203-P204</f>
        <v/>
      </c>
    </row>
    <row r="204">
      <c r="A204" s="15" t="n">
        <v>46000</v>
      </c>
      <c r="B204" s="16" t="n">
        <v>3.61</v>
      </c>
      <c r="C204" s="17">
        <f>(B204-B205)*100</f>
        <v/>
      </c>
      <c r="D204" s="16" t="n">
        <v>3.62</v>
      </c>
      <c r="E204" s="17">
        <f>(D204-D205)*100</f>
        <v/>
      </c>
      <c r="F204" s="16" t="n">
        <v>4.18</v>
      </c>
      <c r="G204" s="17">
        <f>(F204-F205)*100</f>
        <v/>
      </c>
      <c r="H204" s="16" t="n">
        <v>4.8</v>
      </c>
      <c r="I204" s="17">
        <f>(H204-H205)*100</f>
        <v/>
      </c>
      <c r="J204" s="17">
        <f>(F204-B204)*100</f>
        <v/>
      </c>
      <c r="K204" s="18">
        <f>(J204-$D$9)/$E$9</f>
        <v/>
      </c>
      <c r="L204" s="17">
        <f>(F204-D204)*100</f>
        <v/>
      </c>
      <c r="M204" s="18">
        <f>(L204-$D$10)/$E$10</f>
        <v/>
      </c>
      <c r="N204" s="17">
        <f>(H204-F204)*100</f>
        <v/>
      </c>
      <c r="O204" s="18">
        <f>(N204-$D$11)/$E$11</f>
        <v/>
      </c>
      <c r="P204" s="17">
        <f>(H204-B204)*100</f>
        <v/>
      </c>
      <c r="Q204" s="18">
        <f>(P204-$D$12)/$E$12</f>
        <v/>
      </c>
      <c r="R204" s="17">
        <f>J204-J205</f>
        <v/>
      </c>
      <c r="S204" s="17">
        <f>L204-L205</f>
        <v/>
      </c>
      <c r="T204" s="17">
        <f>N204-N205</f>
        <v/>
      </c>
      <c r="U204" s="17">
        <f>P204-P205</f>
        <v/>
      </c>
    </row>
    <row r="205">
      <c r="A205" s="15" t="n">
        <v>45999</v>
      </c>
      <c r="B205" s="16" t="n">
        <v>3.57</v>
      </c>
      <c r="C205" s="17">
        <f>(B205-B206)*100</f>
        <v/>
      </c>
      <c r="D205" s="16" t="n">
        <v>3.59</v>
      </c>
      <c r="E205" s="17">
        <f>(D205-D206)*100</f>
        <v/>
      </c>
      <c r="F205" s="16" t="n">
        <v>4.17</v>
      </c>
      <c r="G205" s="17">
        <f>(F205-F206)*100</f>
        <v/>
      </c>
      <c r="H205" s="16" t="n">
        <v>4.81</v>
      </c>
      <c r="I205" s="17">
        <f>(H205-H206)*100</f>
        <v/>
      </c>
      <c r="J205" s="17">
        <f>(F205-B205)*100</f>
        <v/>
      </c>
      <c r="K205" s="18">
        <f>(J205-$D$9)/$E$9</f>
        <v/>
      </c>
      <c r="L205" s="17">
        <f>(F205-D205)*100</f>
        <v/>
      </c>
      <c r="M205" s="18">
        <f>(L205-$D$10)/$E$10</f>
        <v/>
      </c>
      <c r="N205" s="17">
        <f>(H205-F205)*100</f>
        <v/>
      </c>
      <c r="O205" s="18">
        <f>(N205-$D$11)/$E$11</f>
        <v/>
      </c>
      <c r="P205" s="17">
        <f>(H205-B205)*100</f>
        <v/>
      </c>
      <c r="Q205" s="18">
        <f>(P205-$D$12)/$E$12</f>
        <v/>
      </c>
      <c r="R205" s="17">
        <f>J205-J206</f>
        <v/>
      </c>
      <c r="S205" s="17">
        <f>L205-L206</f>
        <v/>
      </c>
      <c r="T205" s="17">
        <f>N205-N206</f>
        <v/>
      </c>
      <c r="U205" s="17">
        <f>P205-P206</f>
        <v/>
      </c>
    </row>
    <row r="206">
      <c r="A206" s="15" t="n">
        <v>45996</v>
      </c>
      <c r="B206" s="16" t="n">
        <v>3.56</v>
      </c>
      <c r="C206" s="17">
        <f>(B206-B207)*100</f>
        <v/>
      </c>
      <c r="D206" s="16" t="n">
        <v>3.59</v>
      </c>
      <c r="E206" s="17">
        <f>(D206-D207)*100</f>
        <v/>
      </c>
      <c r="F206" s="16" t="n">
        <v>4.14</v>
      </c>
      <c r="G206" s="17">
        <f>(F206-F207)*100</f>
        <v/>
      </c>
      <c r="H206" s="16" t="n">
        <v>4.79</v>
      </c>
      <c r="I206" s="17">
        <f>(H206-H207)*100</f>
        <v/>
      </c>
      <c r="J206" s="17">
        <f>(F206-B206)*100</f>
        <v/>
      </c>
      <c r="K206" s="18">
        <f>(J206-$D$9)/$E$9</f>
        <v/>
      </c>
      <c r="L206" s="17">
        <f>(F206-D206)*100</f>
        <v/>
      </c>
      <c r="M206" s="18">
        <f>(L206-$D$10)/$E$10</f>
        <v/>
      </c>
      <c r="N206" s="17">
        <f>(H206-F206)*100</f>
        <v/>
      </c>
      <c r="O206" s="18">
        <f>(N206-$D$11)/$E$11</f>
        <v/>
      </c>
      <c r="P206" s="17">
        <f>(H206-B206)*100</f>
        <v/>
      </c>
      <c r="Q206" s="18">
        <f>(P206-$D$12)/$E$12</f>
        <v/>
      </c>
      <c r="R206" s="17">
        <f>J206-J207</f>
        <v/>
      </c>
      <c r="S206" s="17">
        <f>L206-L207</f>
        <v/>
      </c>
      <c r="T206" s="17">
        <f>N206-N207</f>
        <v/>
      </c>
      <c r="U206" s="17">
        <f>P206-P207</f>
        <v/>
      </c>
    </row>
    <row r="207">
      <c r="A207" s="15" t="n">
        <v>45995</v>
      </c>
      <c r="B207" s="16" t="n">
        <v>3.52</v>
      </c>
      <c r="C207" s="17">
        <f>(B207-B208)*100</f>
        <v/>
      </c>
      <c r="D207" s="16" t="n">
        <v>3.55</v>
      </c>
      <c r="E207" s="17">
        <f>(D207-D208)*100</f>
        <v/>
      </c>
      <c r="F207" s="16" t="n">
        <v>4.11</v>
      </c>
      <c r="G207" s="17">
        <f>(F207-F208)*100</f>
        <v/>
      </c>
      <c r="H207" s="16" t="n">
        <v>4.76</v>
      </c>
      <c r="I207" s="17">
        <f>(H207-H208)*100</f>
        <v/>
      </c>
      <c r="J207" s="17">
        <f>(F207-B207)*100</f>
        <v/>
      </c>
      <c r="K207" s="18">
        <f>(J207-$D$9)/$E$9</f>
        <v/>
      </c>
      <c r="L207" s="17">
        <f>(F207-D207)*100</f>
        <v/>
      </c>
      <c r="M207" s="18">
        <f>(L207-$D$10)/$E$10</f>
        <v/>
      </c>
      <c r="N207" s="17">
        <f>(H207-F207)*100</f>
        <v/>
      </c>
      <c r="O207" s="18">
        <f>(N207-$D$11)/$E$11</f>
        <v/>
      </c>
      <c r="P207" s="17">
        <f>(H207-B207)*100</f>
        <v/>
      </c>
      <c r="Q207" s="18">
        <f>(P207-$D$12)/$E$12</f>
        <v/>
      </c>
      <c r="R207" s="17">
        <f>J207-J208</f>
        <v/>
      </c>
      <c r="S207" s="17">
        <f>L207-L208</f>
        <v/>
      </c>
      <c r="T207" s="17">
        <f>N207-N208</f>
        <v/>
      </c>
      <c r="U207" s="17">
        <f>P207-P208</f>
        <v/>
      </c>
    </row>
    <row r="208">
      <c r="A208" s="15" t="n">
        <v>45994</v>
      </c>
      <c r="B208" s="16" t="n">
        <v>3.49</v>
      </c>
      <c r="C208" s="17">
        <f>(B208-B209)*100</f>
        <v/>
      </c>
      <c r="D208" s="16" t="n">
        <v>3.5</v>
      </c>
      <c r="E208" s="17">
        <f>(D208-D209)*100</f>
        <v/>
      </c>
      <c r="F208" s="16" t="n">
        <v>4.06</v>
      </c>
      <c r="G208" s="17">
        <f>(F208-F209)*100</f>
        <v/>
      </c>
      <c r="H208" s="16" t="n">
        <v>4.73</v>
      </c>
      <c r="I208" s="17">
        <f>(H208-H209)*100</f>
        <v/>
      </c>
      <c r="J208" s="17">
        <f>(F208-B208)*100</f>
        <v/>
      </c>
      <c r="K208" s="18">
        <f>(J208-$D$9)/$E$9</f>
        <v/>
      </c>
      <c r="L208" s="17">
        <f>(F208-D208)*100</f>
        <v/>
      </c>
      <c r="M208" s="18">
        <f>(L208-$D$10)/$E$10</f>
        <v/>
      </c>
      <c r="N208" s="17">
        <f>(H208-F208)*100</f>
        <v/>
      </c>
      <c r="O208" s="18">
        <f>(N208-$D$11)/$E$11</f>
        <v/>
      </c>
      <c r="P208" s="17">
        <f>(H208-B208)*100</f>
        <v/>
      </c>
      <c r="Q208" s="18">
        <f>(P208-$D$12)/$E$12</f>
        <v/>
      </c>
      <c r="R208" s="17">
        <f>J208-J209</f>
        <v/>
      </c>
      <c r="S208" s="17">
        <f>L208-L209</f>
        <v/>
      </c>
      <c r="T208" s="17">
        <f>N208-N209</f>
        <v/>
      </c>
      <c r="U208" s="17">
        <f>P208-P209</f>
        <v/>
      </c>
    </row>
    <row r="209">
      <c r="A209" s="15" t="n">
        <v>45993</v>
      </c>
      <c r="B209" s="16" t="n">
        <v>3.51</v>
      </c>
      <c r="C209" s="17">
        <f>(B209-B210)*100</f>
        <v/>
      </c>
      <c r="D209" s="16" t="n">
        <v>3.54</v>
      </c>
      <c r="E209" s="17">
        <f>(D209-D210)*100</f>
        <v/>
      </c>
      <c r="F209" s="16" t="n">
        <v>4.09</v>
      </c>
      <c r="G209" s="17">
        <f>(F209-F210)*100</f>
        <v/>
      </c>
      <c r="H209" s="16" t="n">
        <v>4.74</v>
      </c>
      <c r="I209" s="17">
        <f>(H209-H210)*100</f>
        <v/>
      </c>
      <c r="J209" s="17">
        <f>(F209-B209)*100</f>
        <v/>
      </c>
      <c r="K209" s="18">
        <f>(J209-$D$9)/$E$9</f>
        <v/>
      </c>
      <c r="L209" s="17">
        <f>(F209-D209)*100</f>
        <v/>
      </c>
      <c r="M209" s="18">
        <f>(L209-$D$10)/$E$10</f>
        <v/>
      </c>
      <c r="N209" s="17">
        <f>(H209-F209)*100</f>
        <v/>
      </c>
      <c r="O209" s="18">
        <f>(N209-$D$11)/$E$11</f>
        <v/>
      </c>
      <c r="P209" s="17">
        <f>(H209-B209)*100</f>
        <v/>
      </c>
      <c r="Q209" s="18">
        <f>(P209-$D$12)/$E$12</f>
        <v/>
      </c>
      <c r="R209" s="17">
        <f>J209-J210</f>
        <v/>
      </c>
      <c r="S209" s="17">
        <f>L209-L210</f>
        <v/>
      </c>
      <c r="T209" s="17">
        <f>N209-N210</f>
        <v/>
      </c>
      <c r="U209" s="17">
        <f>P209-P210</f>
        <v/>
      </c>
    </row>
    <row r="210">
      <c r="A210" s="15" t="n">
        <v>45992</v>
      </c>
      <c r="B210" s="16" t="n">
        <v>3.54</v>
      </c>
      <c r="C210" s="17">
        <f>(B210-B211)*100</f>
        <v/>
      </c>
      <c r="D210" s="16" t="n">
        <v>3.55</v>
      </c>
      <c r="E210" s="17">
        <f>(D210-D211)*100</f>
        <v/>
      </c>
      <c r="F210" s="16" t="n">
        <v>4.09</v>
      </c>
      <c r="G210" s="17">
        <f>(F210-F211)*100</f>
        <v/>
      </c>
      <c r="H210" s="16" t="n">
        <v>4.74</v>
      </c>
      <c r="I210" s="17">
        <f>(H210-H211)*100</f>
        <v/>
      </c>
      <c r="J210" s="17">
        <f>(F210-B210)*100</f>
        <v/>
      </c>
      <c r="K210" s="18">
        <f>(J210-$D$9)/$E$9</f>
        <v/>
      </c>
      <c r="L210" s="17">
        <f>(F210-D210)*100</f>
        <v/>
      </c>
      <c r="M210" s="18">
        <f>(L210-$D$10)/$E$10</f>
        <v/>
      </c>
      <c r="N210" s="17">
        <f>(H210-F210)*100</f>
        <v/>
      </c>
      <c r="O210" s="18">
        <f>(N210-$D$11)/$E$11</f>
        <v/>
      </c>
      <c r="P210" s="17">
        <f>(H210-B210)*100</f>
        <v/>
      </c>
      <c r="Q210" s="18">
        <f>(P210-$D$12)/$E$12</f>
        <v/>
      </c>
      <c r="R210" s="17">
        <f>J210-J211</f>
        <v/>
      </c>
      <c r="S210" s="17">
        <f>L210-L211</f>
        <v/>
      </c>
      <c r="T210" s="17">
        <f>N210-N211</f>
        <v/>
      </c>
      <c r="U210" s="17">
        <f>P210-P211</f>
        <v/>
      </c>
    </row>
    <row r="211">
      <c r="A211" s="15" t="n">
        <v>45989</v>
      </c>
      <c r="B211" s="16" t="n">
        <v>3.47</v>
      </c>
      <c r="C211" s="17">
        <f>(B211-B212)*100</f>
        <v/>
      </c>
      <c r="D211" s="16" t="n">
        <v>3.49</v>
      </c>
      <c r="E211" s="17">
        <f>(D211-D212)*100</f>
        <v/>
      </c>
      <c r="F211" s="16" t="n">
        <v>4.02</v>
      </c>
      <c r="G211" s="17">
        <f>(F211-F212)*100</f>
        <v/>
      </c>
      <c r="H211" s="16" t="n">
        <v>4.67</v>
      </c>
      <c r="I211" s="17">
        <f>(H211-H212)*100</f>
        <v/>
      </c>
      <c r="J211" s="17">
        <f>(F211-B211)*100</f>
        <v/>
      </c>
      <c r="K211" s="18">
        <f>(J211-$D$9)/$E$9</f>
        <v/>
      </c>
      <c r="L211" s="17">
        <f>(F211-D211)*100</f>
        <v/>
      </c>
      <c r="M211" s="18">
        <f>(L211-$D$10)/$E$10</f>
        <v/>
      </c>
      <c r="N211" s="17">
        <f>(H211-F211)*100</f>
        <v/>
      </c>
      <c r="O211" s="18">
        <f>(N211-$D$11)/$E$11</f>
        <v/>
      </c>
      <c r="P211" s="17">
        <f>(H211-B211)*100</f>
        <v/>
      </c>
      <c r="Q211" s="18">
        <f>(P211-$D$12)/$E$12</f>
        <v/>
      </c>
      <c r="R211" s="17">
        <f>J211-J212</f>
        <v/>
      </c>
      <c r="S211" s="17">
        <f>L211-L212</f>
        <v/>
      </c>
      <c r="T211" s="17">
        <f>N211-N212</f>
        <v/>
      </c>
      <c r="U211" s="17">
        <f>P211-P212</f>
        <v/>
      </c>
    </row>
    <row r="212">
      <c r="A212" s="15" t="n">
        <v>45987</v>
      </c>
      <c r="B212" s="16" t="n">
        <v>3.45</v>
      </c>
      <c r="C212" s="17">
        <f>(B212-B213)*100</f>
        <v/>
      </c>
      <c r="D212" s="16" t="n">
        <v>3.47</v>
      </c>
      <c r="E212" s="17">
        <f>(D212-D213)*100</f>
        <v/>
      </c>
      <c r="F212" s="16" t="n">
        <v>4</v>
      </c>
      <c r="G212" s="17">
        <f>(F212-F213)*100</f>
        <v/>
      </c>
      <c r="H212" s="16" t="n">
        <v>4.64</v>
      </c>
      <c r="I212" s="17">
        <f>(H212-H213)*100</f>
        <v/>
      </c>
      <c r="J212" s="17">
        <f>(F212-B212)*100</f>
        <v/>
      </c>
      <c r="K212" s="18">
        <f>(J212-$D$9)/$E$9</f>
        <v/>
      </c>
      <c r="L212" s="17">
        <f>(F212-D212)*100</f>
        <v/>
      </c>
      <c r="M212" s="18">
        <f>(L212-$D$10)/$E$10</f>
        <v/>
      </c>
      <c r="N212" s="17">
        <f>(H212-F212)*100</f>
        <v/>
      </c>
      <c r="O212" s="18">
        <f>(N212-$D$11)/$E$11</f>
        <v/>
      </c>
      <c r="P212" s="17">
        <f>(H212-B212)*100</f>
        <v/>
      </c>
      <c r="Q212" s="18">
        <f>(P212-$D$12)/$E$12</f>
        <v/>
      </c>
      <c r="R212" s="17">
        <f>J212-J213</f>
        <v/>
      </c>
      <c r="S212" s="17">
        <f>L212-L213</f>
        <v/>
      </c>
      <c r="T212" s="17">
        <f>N212-N213</f>
        <v/>
      </c>
      <c r="U212" s="17">
        <f>P212-P213</f>
        <v/>
      </c>
    </row>
    <row r="213">
      <c r="A213" s="15" t="n">
        <v>45986</v>
      </c>
      <c r="B213" s="16" t="n">
        <v>3.43</v>
      </c>
      <c r="C213" s="17">
        <f>(B213-B214)*100</f>
        <v/>
      </c>
      <c r="D213" s="16" t="n">
        <v>3.46</v>
      </c>
      <c r="E213" s="17">
        <f>(D213-D214)*100</f>
        <v/>
      </c>
      <c r="F213" s="16" t="n">
        <v>4.01</v>
      </c>
      <c r="G213" s="17">
        <f>(F213-F214)*100</f>
        <v/>
      </c>
      <c r="H213" s="16" t="n">
        <v>4.67</v>
      </c>
      <c r="I213" s="17">
        <f>(H213-H214)*100</f>
        <v/>
      </c>
      <c r="J213" s="17">
        <f>(F213-B213)*100</f>
        <v/>
      </c>
      <c r="K213" s="18">
        <f>(J213-$D$9)/$E$9</f>
        <v/>
      </c>
      <c r="L213" s="17">
        <f>(F213-D213)*100</f>
        <v/>
      </c>
      <c r="M213" s="18">
        <f>(L213-$D$10)/$E$10</f>
        <v/>
      </c>
      <c r="N213" s="17">
        <f>(H213-F213)*100</f>
        <v/>
      </c>
      <c r="O213" s="18">
        <f>(N213-$D$11)/$E$11</f>
        <v/>
      </c>
      <c r="P213" s="17">
        <f>(H213-B213)*100</f>
        <v/>
      </c>
      <c r="Q213" s="18">
        <f>(P213-$D$12)/$E$12</f>
        <v/>
      </c>
      <c r="R213" s="17">
        <f>J213-J214</f>
        <v/>
      </c>
      <c r="S213" s="17">
        <f>L213-L214</f>
        <v/>
      </c>
      <c r="T213" s="17">
        <f>N213-N214</f>
        <v/>
      </c>
      <c r="U213" s="17">
        <f>P213-P214</f>
        <v/>
      </c>
    </row>
    <row r="214">
      <c r="A214" s="15" t="n">
        <v>45985</v>
      </c>
      <c r="B214" s="16" t="n">
        <v>3.46</v>
      </c>
      <c r="C214" s="17">
        <f>(B214-B215)*100</f>
        <v/>
      </c>
      <c r="D214" s="16" t="n">
        <v>3.49</v>
      </c>
      <c r="E214" s="17">
        <f>(D214-D215)*100</f>
        <v/>
      </c>
      <c r="F214" s="16" t="n">
        <v>4.04</v>
      </c>
      <c r="G214" s="17">
        <f>(F214-F215)*100</f>
        <v/>
      </c>
      <c r="H214" s="16" t="n">
        <v>4.68</v>
      </c>
      <c r="I214" s="17">
        <f>(H214-H215)*100</f>
        <v/>
      </c>
      <c r="J214" s="17">
        <f>(F214-B214)*100</f>
        <v/>
      </c>
      <c r="K214" s="18">
        <f>(J214-$D$9)/$E$9</f>
        <v/>
      </c>
      <c r="L214" s="17">
        <f>(F214-D214)*100</f>
        <v/>
      </c>
      <c r="M214" s="18">
        <f>(L214-$D$10)/$E$10</f>
        <v/>
      </c>
      <c r="N214" s="17">
        <f>(H214-F214)*100</f>
        <v/>
      </c>
      <c r="O214" s="18">
        <f>(N214-$D$11)/$E$11</f>
        <v/>
      </c>
      <c r="P214" s="17">
        <f>(H214-B214)*100</f>
        <v/>
      </c>
      <c r="Q214" s="18">
        <f>(P214-$D$12)/$E$12</f>
        <v/>
      </c>
      <c r="R214" s="17">
        <f>J214-J215</f>
        <v/>
      </c>
      <c r="S214" s="17">
        <f>L214-L215</f>
        <v/>
      </c>
      <c r="T214" s="17">
        <f>N214-N215</f>
        <v/>
      </c>
      <c r="U214" s="17">
        <f>P214-P215</f>
        <v/>
      </c>
    </row>
    <row r="215">
      <c r="A215" s="15" t="n">
        <v>45982</v>
      </c>
      <c r="B215" s="16" t="n">
        <v>3.51</v>
      </c>
      <c r="C215" s="17">
        <f>(B215-B216)*100</f>
        <v/>
      </c>
      <c r="D215" s="16" t="n">
        <v>3.5</v>
      </c>
      <c r="E215" s="17">
        <f>(D215-D216)*100</f>
        <v/>
      </c>
      <c r="F215" s="16" t="n">
        <v>4.06</v>
      </c>
      <c r="G215" s="17">
        <f>(F215-F216)*100</f>
        <v/>
      </c>
      <c r="H215" s="16" t="n">
        <v>4.71</v>
      </c>
      <c r="I215" s="17">
        <f>(H215-H216)*100</f>
        <v/>
      </c>
      <c r="J215" s="17">
        <f>(F215-B215)*100</f>
        <v/>
      </c>
      <c r="K215" s="18">
        <f>(J215-$D$9)/$E$9</f>
        <v/>
      </c>
      <c r="L215" s="17">
        <f>(F215-D215)*100</f>
        <v/>
      </c>
      <c r="M215" s="18">
        <f>(L215-$D$10)/$E$10</f>
        <v/>
      </c>
      <c r="N215" s="17">
        <f>(H215-F215)*100</f>
        <v/>
      </c>
      <c r="O215" s="18">
        <f>(N215-$D$11)/$E$11</f>
        <v/>
      </c>
      <c r="P215" s="17">
        <f>(H215-B215)*100</f>
        <v/>
      </c>
      <c r="Q215" s="18">
        <f>(P215-$D$12)/$E$12</f>
        <v/>
      </c>
      <c r="R215" s="17">
        <f>J215-J216</f>
        <v/>
      </c>
      <c r="S215" s="17">
        <f>L215-L216</f>
        <v/>
      </c>
      <c r="T215" s="17">
        <f>N215-N216</f>
        <v/>
      </c>
      <c r="U215" s="17">
        <f>P215-P216</f>
        <v/>
      </c>
    </row>
    <row r="216">
      <c r="A216" s="15" t="n">
        <v>45981</v>
      </c>
      <c r="B216" s="16" t="n">
        <v>3.55</v>
      </c>
      <c r="C216" s="17">
        <f>(B216-B217)*100</f>
        <v/>
      </c>
      <c r="D216" s="16" t="n">
        <v>3.56</v>
      </c>
      <c r="E216" s="17">
        <f>(D216-D217)*100</f>
        <v/>
      </c>
      <c r="F216" s="16" t="n">
        <v>4.1</v>
      </c>
      <c r="G216" s="17">
        <f>(F216-F217)*100</f>
        <v/>
      </c>
      <c r="H216" s="16" t="n">
        <v>4.73</v>
      </c>
      <c r="I216" s="17">
        <f>(H216-H217)*100</f>
        <v/>
      </c>
      <c r="J216" s="17">
        <f>(F216-B216)*100</f>
        <v/>
      </c>
      <c r="K216" s="18">
        <f>(J216-$D$9)/$E$9</f>
        <v/>
      </c>
      <c r="L216" s="17">
        <f>(F216-D216)*100</f>
        <v/>
      </c>
      <c r="M216" s="18">
        <f>(L216-$D$10)/$E$10</f>
        <v/>
      </c>
      <c r="N216" s="17">
        <f>(H216-F216)*100</f>
        <v/>
      </c>
      <c r="O216" s="18">
        <f>(N216-$D$11)/$E$11</f>
        <v/>
      </c>
      <c r="P216" s="17">
        <f>(H216-B216)*100</f>
        <v/>
      </c>
      <c r="Q216" s="18">
        <f>(P216-$D$12)/$E$12</f>
        <v/>
      </c>
      <c r="R216" s="17">
        <f>J216-J217</f>
        <v/>
      </c>
      <c r="S216" s="17">
        <f>L216-L217</f>
        <v/>
      </c>
      <c r="T216" s="17">
        <f>N216-N217</f>
        <v/>
      </c>
      <c r="U216" s="17">
        <f>P216-P217</f>
        <v/>
      </c>
    </row>
    <row r="217">
      <c r="A217" s="15" t="n">
        <v>45980</v>
      </c>
      <c r="B217" s="16" t="n">
        <v>3.58</v>
      </c>
      <c r="C217" s="17">
        <f>(B217-B218)*100</f>
        <v/>
      </c>
      <c r="D217" s="16" t="n">
        <v>3.59</v>
      </c>
      <c r="E217" s="17">
        <f>(D217-D218)*100</f>
        <v/>
      </c>
      <c r="F217" s="16" t="n">
        <v>4.13</v>
      </c>
      <c r="G217" s="17">
        <f>(F217-F218)*100</f>
        <v/>
      </c>
      <c r="H217" s="16" t="n">
        <v>4.75</v>
      </c>
      <c r="I217" s="17">
        <f>(H217-H218)*100</f>
        <v/>
      </c>
      <c r="J217" s="17">
        <f>(F217-B217)*100</f>
        <v/>
      </c>
      <c r="K217" s="18">
        <f>(J217-$D$9)/$E$9</f>
        <v/>
      </c>
      <c r="L217" s="17">
        <f>(F217-D217)*100</f>
        <v/>
      </c>
      <c r="M217" s="18">
        <f>(L217-$D$10)/$E$10</f>
        <v/>
      </c>
      <c r="N217" s="17">
        <f>(H217-F217)*100</f>
        <v/>
      </c>
      <c r="O217" s="18">
        <f>(N217-$D$11)/$E$11</f>
        <v/>
      </c>
      <c r="P217" s="17">
        <f>(H217-B217)*100</f>
        <v/>
      </c>
      <c r="Q217" s="18">
        <f>(P217-$D$12)/$E$12</f>
        <v/>
      </c>
      <c r="R217" s="17">
        <f>J217-J218</f>
        <v/>
      </c>
      <c r="S217" s="17">
        <f>L217-L218</f>
        <v/>
      </c>
      <c r="T217" s="17">
        <f>N217-N218</f>
        <v/>
      </c>
      <c r="U217" s="17">
        <f>P217-P218</f>
        <v/>
      </c>
    </row>
    <row r="218">
      <c r="A218" s="15" t="n">
        <v>45979</v>
      </c>
      <c r="B218" s="16" t="n">
        <v>3.58</v>
      </c>
      <c r="C218" s="17">
        <f>(B218-B219)*100</f>
        <v/>
      </c>
      <c r="D218" s="16" t="n">
        <v>3.58</v>
      </c>
      <c r="E218" s="17">
        <f>(D218-D219)*100</f>
        <v/>
      </c>
      <c r="F218" s="16" t="n">
        <v>4.12</v>
      </c>
      <c r="G218" s="17">
        <f>(F218-F219)*100</f>
        <v/>
      </c>
      <c r="H218" s="16" t="n">
        <v>4.74</v>
      </c>
      <c r="I218" s="17">
        <f>(H218-H219)*100</f>
        <v/>
      </c>
      <c r="J218" s="17">
        <f>(F218-B218)*100</f>
        <v/>
      </c>
      <c r="K218" s="18">
        <f>(J218-$D$9)/$E$9</f>
        <v/>
      </c>
      <c r="L218" s="17">
        <f>(F218-D218)*100</f>
        <v/>
      </c>
      <c r="M218" s="18">
        <f>(L218-$D$10)/$E$10</f>
        <v/>
      </c>
      <c r="N218" s="17">
        <f>(H218-F218)*100</f>
        <v/>
      </c>
      <c r="O218" s="18">
        <f>(N218-$D$11)/$E$11</f>
        <v/>
      </c>
      <c r="P218" s="17">
        <f>(H218-B218)*100</f>
        <v/>
      </c>
      <c r="Q218" s="18">
        <f>(P218-$D$12)/$E$12</f>
        <v/>
      </c>
      <c r="R218" s="17">
        <f>J218-J219</f>
        <v/>
      </c>
      <c r="S218" s="17">
        <f>L218-L219</f>
        <v/>
      </c>
      <c r="T218" s="17">
        <f>N218-N219</f>
        <v/>
      </c>
      <c r="U218" s="17">
        <f>P218-P219</f>
        <v/>
      </c>
    </row>
    <row r="219">
      <c r="A219" s="15" t="n">
        <v>45978</v>
      </c>
      <c r="B219" s="16" t="n">
        <v>3.6</v>
      </c>
      <c r="C219" s="17">
        <f>(B219-B220)*100</f>
        <v/>
      </c>
      <c r="D219" s="16" t="n">
        <v>3.6</v>
      </c>
      <c r="E219" s="17">
        <f>(D219-D220)*100</f>
        <v/>
      </c>
      <c r="F219" s="16" t="n">
        <v>4.13</v>
      </c>
      <c r="G219" s="17">
        <f>(F219-F220)*100</f>
        <v/>
      </c>
      <c r="H219" s="16" t="n">
        <v>4.73</v>
      </c>
      <c r="I219" s="17">
        <f>(H219-H220)*100</f>
        <v/>
      </c>
      <c r="J219" s="17">
        <f>(F219-B219)*100</f>
        <v/>
      </c>
      <c r="K219" s="18">
        <f>(J219-$D$9)/$E$9</f>
        <v/>
      </c>
      <c r="L219" s="17">
        <f>(F219-D219)*100</f>
        <v/>
      </c>
      <c r="M219" s="18">
        <f>(L219-$D$10)/$E$10</f>
        <v/>
      </c>
      <c r="N219" s="17">
        <f>(H219-F219)*100</f>
        <v/>
      </c>
      <c r="O219" s="18">
        <f>(N219-$D$11)/$E$11</f>
        <v/>
      </c>
      <c r="P219" s="17">
        <f>(H219-B219)*100</f>
        <v/>
      </c>
      <c r="Q219" s="18">
        <f>(P219-$D$12)/$E$12</f>
        <v/>
      </c>
      <c r="R219" s="17">
        <f>J219-J220</f>
        <v/>
      </c>
      <c r="S219" s="17">
        <f>L219-L220</f>
        <v/>
      </c>
      <c r="T219" s="17">
        <f>N219-N220</f>
        <v/>
      </c>
      <c r="U219" s="17">
        <f>P219-P220</f>
        <v/>
      </c>
    </row>
    <row r="220">
      <c r="A220" s="15" t="n">
        <v>45975</v>
      </c>
      <c r="B220" s="16" t="n">
        <v>3.62</v>
      </c>
      <c r="C220" s="17">
        <f>(B220-B221)*100</f>
        <v/>
      </c>
      <c r="D220" s="16" t="n">
        <v>3.61</v>
      </c>
      <c r="E220" s="17">
        <f>(D220-D221)*100</f>
        <v/>
      </c>
      <c r="F220" s="16" t="n">
        <v>4.14</v>
      </c>
      <c r="G220" s="17">
        <f>(F220-F221)*100</f>
        <v/>
      </c>
      <c r="H220" s="16" t="n">
        <v>4.74</v>
      </c>
      <c r="I220" s="17">
        <f>(H220-H221)*100</f>
        <v/>
      </c>
      <c r="J220" s="17">
        <f>(F220-B220)*100</f>
        <v/>
      </c>
      <c r="K220" s="18">
        <f>(J220-$D$9)/$E$9</f>
        <v/>
      </c>
      <c r="L220" s="17">
        <f>(F220-D220)*100</f>
        <v/>
      </c>
      <c r="M220" s="18">
        <f>(L220-$D$10)/$E$10</f>
        <v/>
      </c>
      <c r="N220" s="17">
        <f>(H220-F220)*100</f>
        <v/>
      </c>
      <c r="O220" s="18">
        <f>(N220-$D$11)/$E$11</f>
        <v/>
      </c>
      <c r="P220" s="17">
        <f>(H220-B220)*100</f>
        <v/>
      </c>
      <c r="Q220" s="18">
        <f>(P220-$D$12)/$E$12</f>
        <v/>
      </c>
      <c r="R220" s="17">
        <f>J220-J221</f>
        <v/>
      </c>
      <c r="S220" s="17">
        <f>L220-L221</f>
        <v/>
      </c>
      <c r="T220" s="17">
        <f>N220-N221</f>
        <v/>
      </c>
      <c r="U220" s="17">
        <f>P220-P221</f>
        <v/>
      </c>
    </row>
    <row r="221">
      <c r="A221" s="15" t="n">
        <v>45974</v>
      </c>
      <c r="B221" s="16" t="n">
        <v>3.58</v>
      </c>
      <c r="C221" s="17">
        <f>(B221-B222)*100</f>
        <v/>
      </c>
      <c r="D221" s="16" t="n">
        <v>3.57</v>
      </c>
      <c r="E221" s="17">
        <f>(D221-D222)*100</f>
        <v/>
      </c>
      <c r="F221" s="16" t="n">
        <v>4.11</v>
      </c>
      <c r="G221" s="17">
        <f>(F221-F222)*100</f>
        <v/>
      </c>
      <c r="H221" s="16" t="n">
        <v>4.7</v>
      </c>
      <c r="I221" s="17">
        <f>(H221-H222)*100</f>
        <v/>
      </c>
      <c r="J221" s="17">
        <f>(F221-B221)*100</f>
        <v/>
      </c>
      <c r="K221" s="18">
        <f>(J221-$D$9)/$E$9</f>
        <v/>
      </c>
      <c r="L221" s="17">
        <f>(F221-D221)*100</f>
        <v/>
      </c>
      <c r="M221" s="18">
        <f>(L221-$D$10)/$E$10</f>
        <v/>
      </c>
      <c r="N221" s="17">
        <f>(H221-F221)*100</f>
        <v/>
      </c>
      <c r="O221" s="18">
        <f>(N221-$D$11)/$E$11</f>
        <v/>
      </c>
      <c r="P221" s="17">
        <f>(H221-B221)*100</f>
        <v/>
      </c>
      <c r="Q221" s="18">
        <f>(P221-$D$12)/$E$12</f>
        <v/>
      </c>
      <c r="R221" s="17">
        <f>J221-J222</f>
        <v/>
      </c>
      <c r="S221" s="17">
        <f>L221-L222</f>
        <v/>
      </c>
      <c r="T221" s="17">
        <f>N221-N222</f>
        <v/>
      </c>
      <c r="U221" s="17">
        <f>P221-P222</f>
        <v/>
      </c>
    </row>
    <row r="222">
      <c r="A222" s="15" t="n">
        <v>45973</v>
      </c>
      <c r="B222" s="16" t="n">
        <v>3.56</v>
      </c>
      <c r="C222" s="17">
        <f>(B222-B223)*100</f>
        <v/>
      </c>
      <c r="D222" s="16" t="n">
        <v>3.55</v>
      </c>
      <c r="E222" s="17">
        <f>(D222-D223)*100</f>
        <v/>
      </c>
      <c r="F222" s="16" t="n">
        <v>4.08</v>
      </c>
      <c r="G222" s="17">
        <f>(F222-F223)*100</f>
        <v/>
      </c>
      <c r="H222" s="16" t="n">
        <v>4.67</v>
      </c>
      <c r="I222" s="17">
        <f>(H222-H223)*100</f>
        <v/>
      </c>
      <c r="J222" s="17">
        <f>(F222-B222)*100</f>
        <v/>
      </c>
      <c r="K222" s="18">
        <f>(J222-$D$9)/$E$9</f>
        <v/>
      </c>
      <c r="L222" s="17">
        <f>(F222-D222)*100</f>
        <v/>
      </c>
      <c r="M222" s="18">
        <f>(L222-$D$10)/$E$10</f>
        <v/>
      </c>
      <c r="N222" s="17">
        <f>(H222-F222)*100</f>
        <v/>
      </c>
      <c r="O222" s="18">
        <f>(N222-$D$11)/$E$11</f>
        <v/>
      </c>
      <c r="P222" s="17">
        <f>(H222-B222)*100</f>
        <v/>
      </c>
      <c r="Q222" s="18">
        <f>(P222-$D$12)/$E$12</f>
        <v/>
      </c>
      <c r="R222" s="17">
        <f>J222-J223</f>
        <v/>
      </c>
      <c r="S222" s="17">
        <f>L222-L223</f>
        <v/>
      </c>
      <c r="T222" s="17">
        <f>N222-N223</f>
        <v/>
      </c>
      <c r="U222" s="17">
        <f>P222-P223</f>
        <v/>
      </c>
    </row>
    <row r="223">
      <c r="A223" s="15" t="n">
        <v>45971</v>
      </c>
      <c r="B223" s="16" t="n">
        <v>3.58</v>
      </c>
      <c r="C223" s="17">
        <f>(B223-B224)*100</f>
        <v/>
      </c>
      <c r="D223" s="16" t="n">
        <v>3.56</v>
      </c>
      <c r="E223" s="17">
        <f>(D223-D224)*100</f>
        <v/>
      </c>
      <c r="F223" s="16" t="n">
        <v>4.13</v>
      </c>
      <c r="G223" s="17">
        <f>(F223-F224)*100</f>
        <v/>
      </c>
      <c r="H223" s="16" t="n">
        <v>4.71</v>
      </c>
      <c r="I223" s="17">
        <f>(H223-H224)*100</f>
        <v/>
      </c>
      <c r="J223" s="17">
        <f>(F223-B223)*100</f>
        <v/>
      </c>
      <c r="K223" s="18">
        <f>(J223-$D$9)/$E$9</f>
        <v/>
      </c>
      <c r="L223" s="17">
        <f>(F223-D223)*100</f>
        <v/>
      </c>
      <c r="M223" s="18">
        <f>(L223-$D$10)/$E$10</f>
        <v/>
      </c>
      <c r="N223" s="17">
        <f>(H223-F223)*100</f>
        <v/>
      </c>
      <c r="O223" s="18">
        <f>(N223-$D$11)/$E$11</f>
        <v/>
      </c>
      <c r="P223" s="17">
        <f>(H223-B223)*100</f>
        <v/>
      </c>
      <c r="Q223" s="18">
        <f>(P223-$D$12)/$E$12</f>
        <v/>
      </c>
      <c r="R223" s="17">
        <f>J223-J224</f>
        <v/>
      </c>
      <c r="S223" s="17">
        <f>L223-L224</f>
        <v/>
      </c>
      <c r="T223" s="17">
        <f>N223-N224</f>
        <v/>
      </c>
      <c r="U223" s="17">
        <f>P223-P224</f>
        <v/>
      </c>
    </row>
    <row r="224">
      <c r="A224" s="15" t="n">
        <v>45968</v>
      </c>
      <c r="B224" s="16" t="n">
        <v>3.55</v>
      </c>
      <c r="C224" s="17">
        <f>(B224-B225)*100</f>
        <v/>
      </c>
      <c r="D224" s="16" t="n">
        <v>3.57</v>
      </c>
      <c r="E224" s="17">
        <f>(D224-D225)*100</f>
        <v/>
      </c>
      <c r="F224" s="16" t="n">
        <v>4.11</v>
      </c>
      <c r="G224" s="17">
        <f>(F224-F225)*100</f>
        <v/>
      </c>
      <c r="H224" s="16" t="n">
        <v>4.7</v>
      </c>
      <c r="I224" s="17">
        <f>(H224-H225)*100</f>
        <v/>
      </c>
      <c r="J224" s="17">
        <f>(F224-B224)*100</f>
        <v/>
      </c>
      <c r="K224" s="18">
        <f>(J224-$D$9)/$E$9</f>
        <v/>
      </c>
      <c r="L224" s="17">
        <f>(F224-D224)*100</f>
        <v/>
      </c>
      <c r="M224" s="18">
        <f>(L224-$D$10)/$E$10</f>
        <v/>
      </c>
      <c r="N224" s="17">
        <f>(H224-F224)*100</f>
        <v/>
      </c>
      <c r="O224" s="18">
        <f>(N224-$D$11)/$E$11</f>
        <v/>
      </c>
      <c r="P224" s="17">
        <f>(H224-B224)*100</f>
        <v/>
      </c>
      <c r="Q224" s="18">
        <f>(P224-$D$12)/$E$12</f>
        <v/>
      </c>
      <c r="R224" s="17">
        <f>J224-J225</f>
        <v/>
      </c>
      <c r="S224" s="17">
        <f>L224-L225</f>
        <v/>
      </c>
      <c r="T224" s="17">
        <f>N224-N225</f>
        <v/>
      </c>
      <c r="U224" s="17">
        <f>P224-P225</f>
        <v/>
      </c>
    </row>
    <row r="225">
      <c r="A225" s="15" t="n">
        <v>45967</v>
      </c>
      <c r="B225" s="16" t="n">
        <v>3.57</v>
      </c>
      <c r="C225" s="17">
        <f>(B225-B226)*100</f>
        <v/>
      </c>
      <c r="D225" s="16" t="n">
        <v>3.58</v>
      </c>
      <c r="E225" s="17">
        <f>(D225-D226)*100</f>
        <v/>
      </c>
      <c r="F225" s="16" t="n">
        <v>4.11</v>
      </c>
      <c r="G225" s="17">
        <f>(F225-F226)*100</f>
        <v/>
      </c>
      <c r="H225" s="16" t="n">
        <v>4.69</v>
      </c>
      <c r="I225" s="17">
        <f>(H225-H226)*100</f>
        <v/>
      </c>
      <c r="J225" s="17">
        <f>(F225-B225)*100</f>
        <v/>
      </c>
      <c r="K225" s="18">
        <f>(J225-$D$9)/$E$9</f>
        <v/>
      </c>
      <c r="L225" s="17">
        <f>(F225-D225)*100</f>
        <v/>
      </c>
      <c r="M225" s="18">
        <f>(L225-$D$10)/$E$10</f>
        <v/>
      </c>
      <c r="N225" s="17">
        <f>(H225-F225)*100</f>
        <v/>
      </c>
      <c r="O225" s="18">
        <f>(N225-$D$11)/$E$11</f>
        <v/>
      </c>
      <c r="P225" s="17">
        <f>(H225-B225)*100</f>
        <v/>
      </c>
      <c r="Q225" s="18">
        <f>(P225-$D$12)/$E$12</f>
        <v/>
      </c>
      <c r="R225" s="17">
        <f>J225-J226</f>
        <v/>
      </c>
      <c r="S225" s="17">
        <f>L225-L226</f>
        <v/>
      </c>
      <c r="T225" s="17">
        <f>N225-N226</f>
        <v/>
      </c>
      <c r="U225" s="17">
        <f>P225-P226</f>
        <v/>
      </c>
    </row>
    <row r="226">
      <c r="A226" s="15" t="n">
        <v>45966</v>
      </c>
      <c r="B226" s="16" t="n">
        <v>3.63</v>
      </c>
      <c r="C226" s="17">
        <f>(B226-B227)*100</f>
        <v/>
      </c>
      <c r="D226" s="16" t="n">
        <v>3.65</v>
      </c>
      <c r="E226" s="17">
        <f>(D226-D227)*100</f>
        <v/>
      </c>
      <c r="F226" s="16" t="n">
        <v>4.17</v>
      </c>
      <c r="G226" s="17">
        <f>(F226-F227)*100</f>
        <v/>
      </c>
      <c r="H226" s="16" t="n">
        <v>4.74</v>
      </c>
      <c r="I226" s="17">
        <f>(H226-H227)*100</f>
        <v/>
      </c>
      <c r="J226" s="17">
        <f>(F226-B226)*100</f>
        <v/>
      </c>
      <c r="K226" s="18">
        <f>(J226-$D$9)/$E$9</f>
        <v/>
      </c>
      <c r="L226" s="17">
        <f>(F226-D226)*100</f>
        <v/>
      </c>
      <c r="M226" s="18">
        <f>(L226-$D$10)/$E$10</f>
        <v/>
      </c>
      <c r="N226" s="17">
        <f>(H226-F226)*100</f>
        <v/>
      </c>
      <c r="O226" s="18">
        <f>(N226-$D$11)/$E$11</f>
        <v/>
      </c>
      <c r="P226" s="17">
        <f>(H226-B226)*100</f>
        <v/>
      </c>
      <c r="Q226" s="18">
        <f>(P226-$D$12)/$E$12</f>
        <v/>
      </c>
      <c r="R226" s="17">
        <f>J226-J227</f>
        <v/>
      </c>
      <c r="S226" s="17">
        <f>L226-L227</f>
        <v/>
      </c>
      <c r="T226" s="17">
        <f>N226-N227</f>
        <v/>
      </c>
      <c r="U226" s="17">
        <f>P226-P227</f>
        <v/>
      </c>
    </row>
    <row r="227">
      <c r="A227" s="15" t="n">
        <v>45965</v>
      </c>
      <c r="B227" s="16" t="n">
        <v>3.58</v>
      </c>
      <c r="C227" s="17">
        <f>(B227-B228)*100</f>
        <v/>
      </c>
      <c r="D227" s="16" t="n">
        <v>3.59</v>
      </c>
      <c r="E227" s="17">
        <f>(D227-D228)*100</f>
        <v/>
      </c>
      <c r="F227" s="16" t="n">
        <v>4.1</v>
      </c>
      <c r="G227" s="17">
        <f>(F227-F228)*100</f>
        <v/>
      </c>
      <c r="H227" s="16" t="n">
        <v>4.67</v>
      </c>
      <c r="I227" s="17">
        <f>(H227-H228)*100</f>
        <v/>
      </c>
      <c r="J227" s="17">
        <f>(F227-B227)*100</f>
        <v/>
      </c>
      <c r="K227" s="18">
        <f>(J227-$D$9)/$E$9</f>
        <v/>
      </c>
      <c r="L227" s="17">
        <f>(F227-D227)*100</f>
        <v/>
      </c>
      <c r="M227" s="18">
        <f>(L227-$D$10)/$E$10</f>
        <v/>
      </c>
      <c r="N227" s="17">
        <f>(H227-F227)*100</f>
        <v/>
      </c>
      <c r="O227" s="18">
        <f>(N227-$D$11)/$E$11</f>
        <v/>
      </c>
      <c r="P227" s="17">
        <f>(H227-B227)*100</f>
        <v/>
      </c>
      <c r="Q227" s="18">
        <f>(P227-$D$12)/$E$12</f>
        <v/>
      </c>
      <c r="R227" s="17">
        <f>J227-J228</f>
        <v/>
      </c>
      <c r="S227" s="17">
        <f>L227-L228</f>
        <v/>
      </c>
      <c r="T227" s="17">
        <f>N227-N228</f>
        <v/>
      </c>
      <c r="U227" s="17">
        <f>P227-P228</f>
        <v/>
      </c>
    </row>
    <row r="228">
      <c r="A228" s="15" t="n">
        <v>45964</v>
      </c>
      <c r="B228" s="16" t="n">
        <v>3.6</v>
      </c>
      <c r="C228" s="17">
        <f>(B228-B229)*100</f>
        <v/>
      </c>
      <c r="D228" s="16" t="n">
        <v>3.61</v>
      </c>
      <c r="E228" s="17">
        <f>(D228-D229)*100</f>
        <v/>
      </c>
      <c r="F228" s="16" t="n">
        <v>4.13</v>
      </c>
      <c r="G228" s="17">
        <f>(F228-F229)*100</f>
        <v/>
      </c>
      <c r="H228" s="16" t="n">
        <v>4.69</v>
      </c>
      <c r="I228" s="17">
        <f>(H228-H229)*100</f>
        <v/>
      </c>
      <c r="J228" s="17">
        <f>(F228-B228)*100</f>
        <v/>
      </c>
      <c r="K228" s="18">
        <f>(J228-$D$9)/$E$9</f>
        <v/>
      </c>
      <c r="L228" s="17">
        <f>(F228-D228)*100</f>
        <v/>
      </c>
      <c r="M228" s="18">
        <f>(L228-$D$10)/$E$10</f>
        <v/>
      </c>
      <c r="N228" s="17">
        <f>(H228-F228)*100</f>
        <v/>
      </c>
      <c r="O228" s="18">
        <f>(N228-$D$11)/$E$11</f>
        <v/>
      </c>
      <c r="P228" s="17">
        <f>(H228-B228)*100</f>
        <v/>
      </c>
      <c r="Q228" s="18">
        <f>(P228-$D$12)/$E$12</f>
        <v/>
      </c>
      <c r="R228" s="17">
        <f>J228-J229</f>
        <v/>
      </c>
      <c r="S228" s="17">
        <f>L228-L229</f>
        <v/>
      </c>
      <c r="T228" s="17">
        <f>N228-N229</f>
        <v/>
      </c>
      <c r="U228" s="17">
        <f>P228-P229</f>
        <v/>
      </c>
    </row>
    <row r="229">
      <c r="A229" s="15" t="n">
        <v>45961</v>
      </c>
      <c r="B229" s="16" t="n">
        <v>3.6</v>
      </c>
      <c r="C229" s="17">
        <f>(B229-B230)*100</f>
        <v/>
      </c>
      <c r="D229" s="16" t="n">
        <v>3.6</v>
      </c>
      <c r="E229" s="17">
        <f>(D229-D230)*100</f>
        <v/>
      </c>
      <c r="F229" s="16" t="n">
        <v>4.11</v>
      </c>
      <c r="G229" s="17">
        <f>(F229-F230)*100</f>
        <v/>
      </c>
      <c r="H229" s="16" t="n">
        <v>4.67</v>
      </c>
      <c r="I229" s="17">
        <f>(H229-H230)*100</f>
        <v/>
      </c>
      <c r="J229" s="17">
        <f>(F229-B229)*100</f>
        <v/>
      </c>
      <c r="K229" s="18">
        <f>(J229-$D$9)/$E$9</f>
        <v/>
      </c>
      <c r="L229" s="17">
        <f>(F229-D229)*100</f>
        <v/>
      </c>
      <c r="M229" s="18">
        <f>(L229-$D$10)/$E$10</f>
        <v/>
      </c>
      <c r="N229" s="17">
        <f>(H229-F229)*100</f>
        <v/>
      </c>
      <c r="O229" s="18">
        <f>(N229-$D$11)/$E$11</f>
        <v/>
      </c>
      <c r="P229" s="17">
        <f>(H229-B229)*100</f>
        <v/>
      </c>
      <c r="Q229" s="18">
        <f>(P229-$D$12)/$E$12</f>
        <v/>
      </c>
      <c r="R229" s="17">
        <f>J229-J230</f>
        <v/>
      </c>
      <c r="S229" s="17">
        <f>L229-L230</f>
        <v/>
      </c>
      <c r="T229" s="17">
        <f>N229-N230</f>
        <v/>
      </c>
      <c r="U229" s="17">
        <f>P229-P230</f>
        <v/>
      </c>
    </row>
    <row r="230">
      <c r="A230" s="15" t="n">
        <v>45960</v>
      </c>
      <c r="B230" s="16" t="n">
        <v>3.61</v>
      </c>
      <c r="C230" s="17">
        <f>(B230-B231)*100</f>
        <v/>
      </c>
      <c r="D230" s="16" t="n">
        <v>3.61</v>
      </c>
      <c r="E230" s="17">
        <f>(D230-D231)*100</f>
        <v/>
      </c>
      <c r="F230" s="16" t="n">
        <v>4.11</v>
      </c>
      <c r="G230" s="17">
        <f>(F230-F231)*100</f>
        <v/>
      </c>
      <c r="H230" s="16" t="n">
        <v>4.65</v>
      </c>
      <c r="I230" s="17">
        <f>(H230-H231)*100</f>
        <v/>
      </c>
      <c r="J230" s="17">
        <f>(F230-B230)*100</f>
        <v/>
      </c>
      <c r="K230" s="18">
        <f>(J230-$D$9)/$E$9</f>
        <v/>
      </c>
      <c r="L230" s="17">
        <f>(F230-D230)*100</f>
        <v/>
      </c>
      <c r="M230" s="18">
        <f>(L230-$D$10)/$E$10</f>
        <v/>
      </c>
      <c r="N230" s="17">
        <f>(H230-F230)*100</f>
        <v/>
      </c>
      <c r="O230" s="18">
        <f>(N230-$D$11)/$E$11</f>
        <v/>
      </c>
      <c r="P230" s="17">
        <f>(H230-B230)*100</f>
        <v/>
      </c>
      <c r="Q230" s="18">
        <f>(P230-$D$12)/$E$12</f>
        <v/>
      </c>
      <c r="R230" s="17">
        <f>J230-J231</f>
        <v/>
      </c>
      <c r="S230" s="17">
        <f>L230-L231</f>
        <v/>
      </c>
      <c r="T230" s="17">
        <f>N230-N231</f>
        <v/>
      </c>
      <c r="U230" s="17">
        <f>P230-P231</f>
        <v/>
      </c>
    </row>
    <row r="231">
      <c r="A231" s="15" t="n">
        <v>45959</v>
      </c>
      <c r="B231" s="16" t="n">
        <v>3.59</v>
      </c>
      <c r="C231" s="17">
        <f>(B231-B232)*100</f>
        <v/>
      </c>
      <c r="D231" s="16" t="n">
        <v>3.6</v>
      </c>
      <c r="E231" s="17">
        <f>(D231-D232)*100</f>
        <v/>
      </c>
      <c r="F231" s="16" t="n">
        <v>4.08</v>
      </c>
      <c r="G231" s="17">
        <f>(F231-F232)*100</f>
        <v/>
      </c>
      <c r="H231" s="16" t="n">
        <v>4.61</v>
      </c>
      <c r="I231" s="17">
        <f>(H231-H232)*100</f>
        <v/>
      </c>
      <c r="J231" s="17">
        <f>(F231-B231)*100</f>
        <v/>
      </c>
      <c r="K231" s="18">
        <f>(J231-$D$9)/$E$9</f>
        <v/>
      </c>
      <c r="L231" s="17">
        <f>(F231-D231)*100</f>
        <v/>
      </c>
      <c r="M231" s="18">
        <f>(L231-$D$10)/$E$10</f>
        <v/>
      </c>
      <c r="N231" s="17">
        <f>(H231-F231)*100</f>
        <v/>
      </c>
      <c r="O231" s="18">
        <f>(N231-$D$11)/$E$11</f>
        <v/>
      </c>
      <c r="P231" s="17">
        <f>(H231-B231)*100</f>
        <v/>
      </c>
      <c r="Q231" s="18">
        <f>(P231-$D$12)/$E$12</f>
        <v/>
      </c>
      <c r="R231" s="17">
        <f>J231-J232</f>
        <v/>
      </c>
      <c r="S231" s="17">
        <f>L231-L232</f>
        <v/>
      </c>
      <c r="T231" s="17">
        <f>N231-N232</f>
        <v/>
      </c>
      <c r="U231" s="17">
        <f>P231-P232</f>
        <v/>
      </c>
    </row>
    <row r="232">
      <c r="A232" s="15" t="n">
        <v>45958</v>
      </c>
      <c r="B232" s="16" t="n">
        <v>3.47</v>
      </c>
      <c r="C232" s="17">
        <f>(B232-B233)*100</f>
        <v/>
      </c>
      <c r="D232" s="16" t="n">
        <v>3.5</v>
      </c>
      <c r="E232" s="17">
        <f>(D232-D233)*100</f>
        <v/>
      </c>
      <c r="F232" s="16" t="n">
        <v>3.99</v>
      </c>
      <c r="G232" s="17">
        <f>(F232-F233)*100</f>
        <v/>
      </c>
      <c r="H232" s="16" t="n">
        <v>4.55</v>
      </c>
      <c r="I232" s="17">
        <f>(H232-H233)*100</f>
        <v/>
      </c>
      <c r="J232" s="17">
        <f>(F232-B232)*100</f>
        <v/>
      </c>
      <c r="K232" s="18">
        <f>(J232-$D$9)/$E$9</f>
        <v/>
      </c>
      <c r="L232" s="17">
        <f>(F232-D232)*100</f>
        <v/>
      </c>
      <c r="M232" s="18">
        <f>(L232-$D$10)/$E$10</f>
        <v/>
      </c>
      <c r="N232" s="17">
        <f>(H232-F232)*100</f>
        <v/>
      </c>
      <c r="O232" s="18">
        <f>(N232-$D$11)/$E$11</f>
        <v/>
      </c>
      <c r="P232" s="17">
        <f>(H232-B232)*100</f>
        <v/>
      </c>
      <c r="Q232" s="18">
        <f>(P232-$D$12)/$E$12</f>
        <v/>
      </c>
      <c r="R232" s="17">
        <f>J232-J233</f>
        <v/>
      </c>
      <c r="S232" s="17">
        <f>L232-L233</f>
        <v/>
      </c>
      <c r="T232" s="17">
        <f>N232-N233</f>
        <v/>
      </c>
      <c r="U232" s="17">
        <f>P232-P233</f>
        <v/>
      </c>
    </row>
    <row r="233">
      <c r="A233" s="15" t="n">
        <v>45957</v>
      </c>
      <c r="B233" s="16" t="n">
        <v>3.48</v>
      </c>
      <c r="C233" s="17">
        <f>(B233-B234)*100</f>
        <v/>
      </c>
      <c r="D233" s="16" t="n">
        <v>3.5</v>
      </c>
      <c r="E233" s="17">
        <f>(D233-D234)*100</f>
        <v/>
      </c>
      <c r="F233" s="16" t="n">
        <v>4.01</v>
      </c>
      <c r="G233" s="17">
        <f>(F233-F234)*100</f>
        <v/>
      </c>
      <c r="H233" s="16" t="n">
        <v>4.57</v>
      </c>
      <c r="I233" s="17">
        <f>(H233-H234)*100</f>
        <v/>
      </c>
      <c r="J233" s="17">
        <f>(F233-B233)*100</f>
        <v/>
      </c>
      <c r="K233" s="18">
        <f>(J233-$D$9)/$E$9</f>
        <v/>
      </c>
      <c r="L233" s="17">
        <f>(F233-D233)*100</f>
        <v/>
      </c>
      <c r="M233" s="18">
        <f>(L233-$D$10)/$E$10</f>
        <v/>
      </c>
      <c r="N233" s="17">
        <f>(H233-F233)*100</f>
        <v/>
      </c>
      <c r="O233" s="18">
        <f>(N233-$D$11)/$E$11</f>
        <v/>
      </c>
      <c r="P233" s="17">
        <f>(H233-B233)*100</f>
        <v/>
      </c>
      <c r="Q233" s="18">
        <f>(P233-$D$12)/$E$12</f>
        <v/>
      </c>
      <c r="R233" s="17">
        <f>J233-J234</f>
        <v/>
      </c>
      <c r="S233" s="17">
        <f>L233-L234</f>
        <v/>
      </c>
      <c r="T233" s="17">
        <f>N233-N234</f>
        <v/>
      </c>
      <c r="U233" s="17">
        <f>P233-P234</f>
        <v/>
      </c>
    </row>
    <row r="234">
      <c r="A234" s="15" t="n">
        <v>45954</v>
      </c>
      <c r="B234" s="16" t="n">
        <v>3.48</v>
      </c>
      <c r="C234" s="17">
        <f>(B234-B235)*100</f>
        <v/>
      </c>
      <c r="D234" s="16" t="n">
        <v>3.49</v>
      </c>
      <c r="E234" s="17">
        <f>(D234-D235)*100</f>
        <v/>
      </c>
      <c r="F234" s="16" t="n">
        <v>4.02</v>
      </c>
      <c r="G234" s="17">
        <f>(F234-F235)*100</f>
        <v/>
      </c>
      <c r="H234" s="16" t="n">
        <v>4.59</v>
      </c>
      <c r="I234" s="17">
        <f>(H234-H235)*100</f>
        <v/>
      </c>
      <c r="J234" s="17">
        <f>(F234-B234)*100</f>
        <v/>
      </c>
      <c r="K234" s="18">
        <f>(J234-$D$9)/$E$9</f>
        <v/>
      </c>
      <c r="L234" s="17">
        <f>(F234-D234)*100</f>
        <v/>
      </c>
      <c r="M234" s="18">
        <f>(L234-$D$10)/$E$10</f>
        <v/>
      </c>
      <c r="N234" s="17">
        <f>(H234-F234)*100</f>
        <v/>
      </c>
      <c r="O234" s="18">
        <f>(N234-$D$11)/$E$11</f>
        <v/>
      </c>
      <c r="P234" s="17">
        <f>(H234-B234)*100</f>
        <v/>
      </c>
      <c r="Q234" s="18">
        <f>(P234-$D$12)/$E$12</f>
        <v/>
      </c>
      <c r="R234" s="17">
        <f>J234-J235</f>
        <v/>
      </c>
      <c r="S234" s="17">
        <f>L234-L235</f>
        <v/>
      </c>
      <c r="T234" s="17">
        <f>N234-N235</f>
        <v/>
      </c>
      <c r="U234" s="17">
        <f>P234-P235</f>
        <v/>
      </c>
    </row>
    <row r="235">
      <c r="A235" s="15" t="n">
        <v>45953</v>
      </c>
      <c r="B235" s="16" t="n">
        <v>3.48</v>
      </c>
      <c r="C235" s="17">
        <f>(B235-B236)*100</f>
        <v/>
      </c>
      <c r="D235" s="16" t="n">
        <v>3.49</v>
      </c>
      <c r="E235" s="17">
        <f>(D235-D236)*100</f>
        <v/>
      </c>
      <c r="F235" s="16" t="n">
        <v>4.01</v>
      </c>
      <c r="G235" s="17">
        <f>(F235-F236)*100</f>
        <v/>
      </c>
      <c r="H235" s="16" t="n">
        <v>4.58</v>
      </c>
      <c r="I235" s="17">
        <f>(H235-H236)*100</f>
        <v/>
      </c>
      <c r="J235" s="17">
        <f>(F235-B235)*100</f>
        <v/>
      </c>
      <c r="K235" s="18">
        <f>(J235-$D$9)/$E$9</f>
        <v/>
      </c>
      <c r="L235" s="17">
        <f>(F235-D235)*100</f>
        <v/>
      </c>
      <c r="M235" s="18">
        <f>(L235-$D$10)/$E$10</f>
        <v/>
      </c>
      <c r="N235" s="17">
        <f>(H235-F235)*100</f>
        <v/>
      </c>
      <c r="O235" s="18">
        <f>(N235-$D$11)/$E$11</f>
        <v/>
      </c>
      <c r="P235" s="17">
        <f>(H235-B235)*100</f>
        <v/>
      </c>
      <c r="Q235" s="18">
        <f>(P235-$D$12)/$E$12</f>
        <v/>
      </c>
      <c r="R235" s="17">
        <f>J235-J236</f>
        <v/>
      </c>
      <c r="S235" s="17">
        <f>L235-L236</f>
        <v/>
      </c>
      <c r="T235" s="17">
        <f>N235-N236</f>
        <v/>
      </c>
      <c r="U235" s="17">
        <f>P235-P236</f>
        <v/>
      </c>
    </row>
    <row r="236">
      <c r="A236" s="15" t="n">
        <v>45952</v>
      </c>
      <c r="B236" s="16" t="n">
        <v>3.45</v>
      </c>
      <c r="C236" s="17">
        <f>(B236-B237)*100</f>
        <v/>
      </c>
      <c r="D236" s="16" t="n">
        <v>3.44</v>
      </c>
      <c r="E236" s="17">
        <f>(D236-D237)*100</f>
        <v/>
      </c>
      <c r="F236" s="16" t="n">
        <v>3.97</v>
      </c>
      <c r="G236" s="17">
        <f>(F236-F237)*100</f>
        <v/>
      </c>
      <c r="H236" s="16" t="n">
        <v>4.54</v>
      </c>
      <c r="I236" s="17">
        <f>(H236-H237)*100</f>
        <v/>
      </c>
      <c r="J236" s="17">
        <f>(F236-B236)*100</f>
        <v/>
      </c>
      <c r="K236" s="18">
        <f>(J236-$D$9)/$E$9</f>
        <v/>
      </c>
      <c r="L236" s="17">
        <f>(F236-D236)*100</f>
        <v/>
      </c>
      <c r="M236" s="18">
        <f>(L236-$D$10)/$E$10</f>
        <v/>
      </c>
      <c r="N236" s="17">
        <f>(H236-F236)*100</f>
        <v/>
      </c>
      <c r="O236" s="18">
        <f>(N236-$D$11)/$E$11</f>
        <v/>
      </c>
      <c r="P236" s="17">
        <f>(H236-B236)*100</f>
        <v/>
      </c>
      <c r="Q236" s="18">
        <f>(P236-$D$12)/$E$12</f>
        <v/>
      </c>
      <c r="R236" s="17">
        <f>J236-J237</f>
        <v/>
      </c>
      <c r="S236" s="17">
        <f>L236-L237</f>
        <v/>
      </c>
      <c r="T236" s="17">
        <f>N236-N237</f>
        <v/>
      </c>
      <c r="U236" s="17">
        <f>P236-P237</f>
        <v/>
      </c>
    </row>
    <row r="237">
      <c r="A237" s="15" t="n">
        <v>45951</v>
      </c>
      <c r="B237" s="16" t="n">
        <v>3.45</v>
      </c>
      <c r="C237" s="17">
        <f>(B237-B238)*100</f>
        <v/>
      </c>
      <c r="D237" s="16" t="n">
        <v>3.46</v>
      </c>
      <c r="E237" s="17">
        <f>(D237-D238)*100</f>
        <v/>
      </c>
      <c r="F237" s="16" t="n">
        <v>3.98</v>
      </c>
      <c r="G237" s="17">
        <f>(F237-F238)*100</f>
        <v/>
      </c>
      <c r="H237" s="16" t="n">
        <v>4.55</v>
      </c>
      <c r="I237" s="17">
        <f>(H237-H238)*100</f>
        <v/>
      </c>
      <c r="J237" s="17">
        <f>(F237-B237)*100</f>
        <v/>
      </c>
      <c r="K237" s="18">
        <f>(J237-$D$9)/$E$9</f>
        <v/>
      </c>
      <c r="L237" s="17">
        <f>(F237-D237)*100</f>
        <v/>
      </c>
      <c r="M237" s="18">
        <f>(L237-$D$10)/$E$10</f>
        <v/>
      </c>
      <c r="N237" s="17">
        <f>(H237-F237)*100</f>
        <v/>
      </c>
      <c r="O237" s="18">
        <f>(N237-$D$11)/$E$11</f>
        <v/>
      </c>
      <c r="P237" s="17">
        <f>(H237-B237)*100</f>
        <v/>
      </c>
      <c r="Q237" s="18">
        <f>(P237-$D$12)/$E$12</f>
        <v/>
      </c>
      <c r="R237" s="17">
        <f>J237-J238</f>
        <v/>
      </c>
      <c r="S237" s="17">
        <f>L237-L238</f>
        <v/>
      </c>
      <c r="T237" s="17">
        <f>N237-N238</f>
        <v/>
      </c>
      <c r="U237" s="17">
        <f>P237-P238</f>
        <v/>
      </c>
    </row>
    <row r="238">
      <c r="A238" s="15" t="n">
        <v>45950</v>
      </c>
      <c r="B238" s="16" t="n">
        <v>3.46</v>
      </c>
      <c r="C238" s="17">
        <f>(B238-B239)*100</f>
        <v/>
      </c>
      <c r="D238" s="16" t="n">
        <v>3.47</v>
      </c>
      <c r="E238" s="17">
        <f>(D238-D239)*100</f>
        <v/>
      </c>
      <c r="F238" s="16" t="n">
        <v>4</v>
      </c>
      <c r="G238" s="17">
        <f>(F238-F239)*100</f>
        <v/>
      </c>
      <c r="H238" s="16" t="n">
        <v>4.58</v>
      </c>
      <c r="I238" s="17">
        <f>(H238-H239)*100</f>
        <v/>
      </c>
      <c r="J238" s="17">
        <f>(F238-B238)*100</f>
        <v/>
      </c>
      <c r="K238" s="18">
        <f>(J238-$D$9)/$E$9</f>
        <v/>
      </c>
      <c r="L238" s="17">
        <f>(F238-D238)*100</f>
        <v/>
      </c>
      <c r="M238" s="18">
        <f>(L238-$D$10)/$E$10</f>
        <v/>
      </c>
      <c r="N238" s="17">
        <f>(H238-F238)*100</f>
        <v/>
      </c>
      <c r="O238" s="18">
        <f>(N238-$D$11)/$E$11</f>
        <v/>
      </c>
      <c r="P238" s="17">
        <f>(H238-B238)*100</f>
        <v/>
      </c>
      <c r="Q238" s="18">
        <f>(P238-$D$12)/$E$12</f>
        <v/>
      </c>
      <c r="R238" s="17">
        <f>J238-J239</f>
        <v/>
      </c>
      <c r="S238" s="17">
        <f>L238-L239</f>
        <v/>
      </c>
      <c r="T238" s="17">
        <f>N238-N239</f>
        <v/>
      </c>
      <c r="U238" s="17">
        <f>P238-P239</f>
        <v/>
      </c>
    </row>
    <row r="239">
      <c r="A239" s="15" t="n">
        <v>45947</v>
      </c>
      <c r="B239" s="16" t="n">
        <v>3.46</v>
      </c>
      <c r="C239" s="17">
        <f>(B239-B240)*100</f>
        <v/>
      </c>
      <c r="D239" s="16" t="n">
        <v>3.47</v>
      </c>
      <c r="E239" s="17">
        <f>(D239-D240)*100</f>
        <v/>
      </c>
      <c r="F239" s="16" t="n">
        <v>4.02</v>
      </c>
      <c r="G239" s="17">
        <f>(F239-F240)*100</f>
        <v/>
      </c>
      <c r="H239" s="16" t="n">
        <v>4.6</v>
      </c>
      <c r="I239" s="17">
        <f>(H239-H240)*100</f>
        <v/>
      </c>
      <c r="J239" s="17">
        <f>(F239-B239)*100</f>
        <v/>
      </c>
      <c r="K239" s="18">
        <f>(J239-$D$9)/$E$9</f>
        <v/>
      </c>
      <c r="L239" s="17">
        <f>(F239-D239)*100</f>
        <v/>
      </c>
      <c r="M239" s="18">
        <f>(L239-$D$10)/$E$10</f>
        <v/>
      </c>
      <c r="N239" s="17">
        <f>(H239-F239)*100</f>
        <v/>
      </c>
      <c r="O239" s="18">
        <f>(N239-$D$11)/$E$11</f>
        <v/>
      </c>
      <c r="P239" s="17">
        <f>(H239-B239)*100</f>
        <v/>
      </c>
      <c r="Q239" s="18">
        <f>(P239-$D$12)/$E$12</f>
        <v/>
      </c>
      <c r="R239" s="17">
        <f>J239-J240</f>
        <v/>
      </c>
      <c r="S239" s="17">
        <f>L239-L240</f>
        <v/>
      </c>
      <c r="T239" s="17">
        <f>N239-N240</f>
        <v/>
      </c>
      <c r="U239" s="17">
        <f>P239-P240</f>
        <v/>
      </c>
    </row>
    <row r="240">
      <c r="A240" s="15" t="n">
        <v>45946</v>
      </c>
      <c r="B240" s="16" t="n">
        <v>3.41</v>
      </c>
      <c r="C240" s="17">
        <f>(B240-B241)*100</f>
        <v/>
      </c>
      <c r="D240" s="16" t="n">
        <v>3.42</v>
      </c>
      <c r="E240" s="17">
        <f>(D240-D241)*100</f>
        <v/>
      </c>
      <c r="F240" s="16" t="n">
        <v>3.99</v>
      </c>
      <c r="G240" s="17">
        <f>(F240-F241)*100</f>
        <v/>
      </c>
      <c r="H240" s="16" t="n">
        <v>4.58</v>
      </c>
      <c r="I240" s="17">
        <f>(H240-H241)*100</f>
        <v/>
      </c>
      <c r="J240" s="17">
        <f>(F240-B240)*100</f>
        <v/>
      </c>
      <c r="K240" s="18">
        <f>(J240-$D$9)/$E$9</f>
        <v/>
      </c>
      <c r="L240" s="17">
        <f>(F240-D240)*100</f>
        <v/>
      </c>
      <c r="M240" s="18">
        <f>(L240-$D$10)/$E$10</f>
        <v/>
      </c>
      <c r="N240" s="17">
        <f>(H240-F240)*100</f>
        <v/>
      </c>
      <c r="O240" s="18">
        <f>(N240-$D$11)/$E$11</f>
        <v/>
      </c>
      <c r="P240" s="17">
        <f>(H240-B240)*100</f>
        <v/>
      </c>
      <c r="Q240" s="18">
        <f>(P240-$D$12)/$E$12</f>
        <v/>
      </c>
      <c r="R240" s="17">
        <f>J240-J241</f>
        <v/>
      </c>
      <c r="S240" s="17">
        <f>L240-L241</f>
        <v/>
      </c>
      <c r="T240" s="17">
        <f>N240-N241</f>
        <v/>
      </c>
      <c r="U240" s="17">
        <f>P240-P241</f>
        <v/>
      </c>
    </row>
    <row r="241">
      <c r="A241" s="15" t="n">
        <v>45945</v>
      </c>
      <c r="B241" s="16" t="n">
        <v>3.5</v>
      </c>
      <c r="C241" s="17">
        <f>(B241-B242)*100</f>
        <v/>
      </c>
      <c r="D241" s="16" t="n">
        <v>3.51</v>
      </c>
      <c r="E241" s="17">
        <f>(D241-D242)*100</f>
        <v/>
      </c>
      <c r="F241" s="16" t="n">
        <v>4.05</v>
      </c>
      <c r="G241" s="17">
        <f>(F241-F242)*100</f>
        <v/>
      </c>
      <c r="H241" s="16" t="n">
        <v>4.64</v>
      </c>
      <c r="I241" s="17">
        <f>(H241-H242)*100</f>
        <v/>
      </c>
      <c r="J241" s="17">
        <f>(F241-B241)*100</f>
        <v/>
      </c>
      <c r="K241" s="18">
        <f>(J241-$D$9)/$E$9</f>
        <v/>
      </c>
      <c r="L241" s="17">
        <f>(F241-D241)*100</f>
        <v/>
      </c>
      <c r="M241" s="18">
        <f>(L241-$D$10)/$E$10</f>
        <v/>
      </c>
      <c r="N241" s="17">
        <f>(H241-F241)*100</f>
        <v/>
      </c>
      <c r="O241" s="18">
        <f>(N241-$D$11)/$E$11</f>
        <v/>
      </c>
      <c r="P241" s="17">
        <f>(H241-B241)*100</f>
        <v/>
      </c>
      <c r="Q241" s="18">
        <f>(P241-$D$12)/$E$12</f>
        <v/>
      </c>
      <c r="R241" s="17">
        <f>J241-J242</f>
        <v/>
      </c>
      <c r="S241" s="17">
        <f>L241-L242</f>
        <v/>
      </c>
      <c r="T241" s="17">
        <f>N241-N242</f>
        <v/>
      </c>
      <c r="U241" s="17">
        <f>P241-P242</f>
        <v/>
      </c>
    </row>
    <row r="242">
      <c r="A242" s="15" t="n">
        <v>45944</v>
      </c>
      <c r="B242" s="16" t="n">
        <v>3.48</v>
      </c>
      <c r="C242" s="17">
        <f>(B242-B243)*100</f>
        <v/>
      </c>
      <c r="D242" s="16" t="n">
        <v>3.47</v>
      </c>
      <c r="E242" s="17">
        <f>(D242-D243)*100</f>
        <v/>
      </c>
      <c r="F242" s="16" t="n">
        <v>4.03</v>
      </c>
      <c r="G242" s="17">
        <f>(F242-F243)*100</f>
        <v/>
      </c>
      <c r="H242" s="16" t="n">
        <v>4.62</v>
      </c>
      <c r="I242" s="17">
        <f>(H242-H243)*100</f>
        <v/>
      </c>
      <c r="J242" s="17">
        <f>(F242-B242)*100</f>
        <v/>
      </c>
      <c r="K242" s="18">
        <f>(J242-$D$9)/$E$9</f>
        <v/>
      </c>
      <c r="L242" s="17">
        <f>(F242-D242)*100</f>
        <v/>
      </c>
      <c r="M242" s="18">
        <f>(L242-$D$10)/$E$10</f>
        <v/>
      </c>
      <c r="N242" s="17">
        <f>(H242-F242)*100</f>
        <v/>
      </c>
      <c r="O242" s="18">
        <f>(N242-$D$11)/$E$11</f>
        <v/>
      </c>
      <c r="P242" s="17">
        <f>(H242-B242)*100</f>
        <v/>
      </c>
      <c r="Q242" s="18">
        <f>(P242-$D$12)/$E$12</f>
        <v/>
      </c>
      <c r="R242" s="17">
        <f>J242-J243</f>
        <v/>
      </c>
      <c r="S242" s="17">
        <f>L242-L243</f>
        <v/>
      </c>
      <c r="T242" s="17">
        <f>N242-N243</f>
        <v/>
      </c>
      <c r="U242" s="17">
        <f>P242-P243</f>
        <v/>
      </c>
    </row>
    <row r="243">
      <c r="A243" s="15" t="n">
        <v>45940</v>
      </c>
      <c r="B243" s="16" t="n">
        <v>3.52</v>
      </c>
      <c r="C243" s="17">
        <f>(B243-B244)*100</f>
        <v/>
      </c>
      <c r="D243" s="16" t="n">
        <v>3.52</v>
      </c>
      <c r="E243" s="17">
        <f>(D243-D244)*100</f>
        <v/>
      </c>
      <c r="F243" s="16" t="n">
        <v>4.05</v>
      </c>
      <c r="G243" s="17">
        <f>(F243-F244)*100</f>
        <v/>
      </c>
      <c r="H243" s="16" t="n">
        <v>4.63</v>
      </c>
      <c r="I243" s="17">
        <f>(H243-H244)*100</f>
        <v/>
      </c>
      <c r="J243" s="17">
        <f>(F243-B243)*100</f>
        <v/>
      </c>
      <c r="K243" s="18">
        <f>(J243-$D$9)/$E$9</f>
        <v/>
      </c>
      <c r="L243" s="17">
        <f>(F243-D243)*100</f>
        <v/>
      </c>
      <c r="M243" s="18">
        <f>(L243-$D$10)/$E$10</f>
        <v/>
      </c>
      <c r="N243" s="17">
        <f>(H243-F243)*100</f>
        <v/>
      </c>
      <c r="O243" s="18">
        <f>(N243-$D$11)/$E$11</f>
        <v/>
      </c>
      <c r="P243" s="17">
        <f>(H243-B243)*100</f>
        <v/>
      </c>
      <c r="Q243" s="18">
        <f>(P243-$D$12)/$E$12</f>
        <v/>
      </c>
      <c r="R243" s="17">
        <f>J243-J244</f>
        <v/>
      </c>
      <c r="S243" s="17">
        <f>L243-L244</f>
        <v/>
      </c>
      <c r="T243" s="17">
        <f>N243-N244</f>
        <v/>
      </c>
      <c r="U243" s="17">
        <f>P243-P244</f>
        <v/>
      </c>
    </row>
    <row r="244">
      <c r="A244" s="15" t="n">
        <v>45939</v>
      </c>
      <c r="B244" s="16" t="n">
        <v>3.6</v>
      </c>
      <c r="C244" s="17">
        <f>(B244-B245)*100</f>
        <v/>
      </c>
      <c r="D244" s="16" t="n">
        <v>3.59</v>
      </c>
      <c r="E244" s="17">
        <f>(D244-D245)*100</f>
        <v/>
      </c>
      <c r="F244" s="16" t="n">
        <v>4.14</v>
      </c>
      <c r="G244" s="17">
        <f>(F244-F245)*100</f>
        <v/>
      </c>
      <c r="H244" s="16" t="n">
        <v>4.72</v>
      </c>
      <c r="I244" s="17">
        <f>(H244-H245)*100</f>
        <v/>
      </c>
      <c r="J244" s="17">
        <f>(F244-B244)*100</f>
        <v/>
      </c>
      <c r="K244" s="18">
        <f>(J244-$D$9)/$E$9</f>
        <v/>
      </c>
      <c r="L244" s="17">
        <f>(F244-D244)*100</f>
        <v/>
      </c>
      <c r="M244" s="18">
        <f>(L244-$D$10)/$E$10</f>
        <v/>
      </c>
      <c r="N244" s="17">
        <f>(H244-F244)*100</f>
        <v/>
      </c>
      <c r="O244" s="18">
        <f>(N244-$D$11)/$E$11</f>
        <v/>
      </c>
      <c r="P244" s="17">
        <f>(H244-B244)*100</f>
        <v/>
      </c>
      <c r="Q244" s="18">
        <f>(P244-$D$12)/$E$12</f>
        <v/>
      </c>
      <c r="R244" s="17">
        <f>J244-J245</f>
        <v/>
      </c>
      <c r="S244" s="17">
        <f>L244-L245</f>
        <v/>
      </c>
      <c r="T244" s="17">
        <f>N244-N245</f>
        <v/>
      </c>
      <c r="U244" s="17">
        <f>P244-P245</f>
        <v/>
      </c>
    </row>
    <row r="245">
      <c r="A245" s="15" t="n">
        <v>45938</v>
      </c>
      <c r="B245" s="16" t="n">
        <v>3.58</v>
      </c>
      <c r="C245" s="17">
        <f>(B245-B246)*100</f>
        <v/>
      </c>
      <c r="D245" s="16" t="n">
        <v>3.58</v>
      </c>
      <c r="E245" s="17">
        <f>(D245-D246)*100</f>
        <v/>
      </c>
      <c r="F245" s="16" t="n">
        <v>4.13</v>
      </c>
      <c r="G245" s="17">
        <f>(F245-F246)*100</f>
        <v/>
      </c>
      <c r="H245" s="16" t="n">
        <v>4.72</v>
      </c>
      <c r="I245" s="17">
        <f>(H245-H246)*100</f>
        <v/>
      </c>
      <c r="J245" s="17">
        <f>(F245-B245)*100</f>
        <v/>
      </c>
      <c r="K245" s="18">
        <f>(J245-$D$9)/$E$9</f>
        <v/>
      </c>
      <c r="L245" s="17">
        <f>(F245-D245)*100</f>
        <v/>
      </c>
      <c r="M245" s="18">
        <f>(L245-$D$10)/$E$10</f>
        <v/>
      </c>
      <c r="N245" s="17">
        <f>(H245-F245)*100</f>
        <v/>
      </c>
      <c r="O245" s="18">
        <f>(N245-$D$11)/$E$11</f>
        <v/>
      </c>
      <c r="P245" s="17">
        <f>(H245-B245)*100</f>
        <v/>
      </c>
      <c r="Q245" s="18">
        <f>(P245-$D$12)/$E$12</f>
        <v/>
      </c>
      <c r="R245" s="17">
        <f>J245-J246</f>
        <v/>
      </c>
      <c r="S245" s="17">
        <f>L245-L246</f>
        <v/>
      </c>
      <c r="T245" s="17">
        <f>N245-N246</f>
        <v/>
      </c>
      <c r="U245" s="17">
        <f>P245-P246</f>
        <v/>
      </c>
    </row>
    <row r="246">
      <c r="A246" s="15" t="n">
        <v>45937</v>
      </c>
      <c r="B246" s="16" t="n">
        <v>3.57</v>
      </c>
      <c r="C246" s="17">
        <f>(B246-B247)*100</f>
        <v/>
      </c>
      <c r="D246" s="16" t="n">
        <v>3.56</v>
      </c>
      <c r="E246" s="17">
        <f>(D246-D247)*100</f>
        <v/>
      </c>
      <c r="F246" s="16" t="n">
        <v>4.14</v>
      </c>
      <c r="G246" s="17">
        <f>(F246-F247)*100</f>
        <v/>
      </c>
      <c r="H246" s="16" t="n">
        <v>4.73</v>
      </c>
      <c r="I246" s="17">
        <f>(H246-H247)*100</f>
        <v/>
      </c>
      <c r="J246" s="17">
        <f>(F246-B246)*100</f>
        <v/>
      </c>
      <c r="K246" s="18">
        <f>(J246-$D$9)/$E$9</f>
        <v/>
      </c>
      <c r="L246" s="17">
        <f>(F246-D246)*100</f>
        <v/>
      </c>
      <c r="M246" s="18">
        <f>(L246-$D$10)/$E$10</f>
        <v/>
      </c>
      <c r="N246" s="17">
        <f>(H246-F246)*100</f>
        <v/>
      </c>
      <c r="O246" s="18">
        <f>(N246-$D$11)/$E$11</f>
        <v/>
      </c>
      <c r="P246" s="17">
        <f>(H246-B246)*100</f>
        <v/>
      </c>
      <c r="Q246" s="18">
        <f>(P246-$D$12)/$E$12</f>
        <v/>
      </c>
      <c r="R246" s="17">
        <f>J246-J247</f>
        <v/>
      </c>
      <c r="S246" s="17">
        <f>L246-L247</f>
        <v/>
      </c>
      <c r="T246" s="17">
        <f>N246-N247</f>
        <v/>
      </c>
      <c r="U246" s="17">
        <f>P246-P247</f>
        <v/>
      </c>
    </row>
    <row r="247">
      <c r="A247" s="15" t="n">
        <v>45936</v>
      </c>
      <c r="B247" s="16" t="n">
        <v>3.6</v>
      </c>
      <c r="C247" s="17">
        <f>(B247-B248)*100</f>
        <v/>
      </c>
      <c r="D247" s="16" t="n">
        <v>3.63</v>
      </c>
      <c r="E247" s="17">
        <f>(D247-D248)*100</f>
        <v/>
      </c>
      <c r="F247" s="16" t="n">
        <v>4.18</v>
      </c>
      <c r="G247" s="17">
        <f>(F247-F248)*100</f>
        <v/>
      </c>
      <c r="H247" s="16" t="n">
        <v>4.76</v>
      </c>
      <c r="I247" s="17">
        <f>(H247-H248)*100</f>
        <v/>
      </c>
      <c r="J247" s="17">
        <f>(F247-B247)*100</f>
        <v/>
      </c>
      <c r="K247" s="18">
        <f>(J247-$D$9)/$E$9</f>
        <v/>
      </c>
      <c r="L247" s="17">
        <f>(F247-D247)*100</f>
        <v/>
      </c>
      <c r="M247" s="18">
        <f>(L247-$D$10)/$E$10</f>
        <v/>
      </c>
      <c r="N247" s="17">
        <f>(H247-F247)*100</f>
        <v/>
      </c>
      <c r="O247" s="18">
        <f>(N247-$D$11)/$E$11</f>
        <v/>
      </c>
      <c r="P247" s="17">
        <f>(H247-B247)*100</f>
        <v/>
      </c>
      <c r="Q247" s="18">
        <f>(P247-$D$12)/$E$12</f>
        <v/>
      </c>
      <c r="R247" s="17">
        <f>J247-J248</f>
        <v/>
      </c>
      <c r="S247" s="17">
        <f>L247-L248</f>
        <v/>
      </c>
      <c r="T247" s="17">
        <f>N247-N248</f>
        <v/>
      </c>
      <c r="U247" s="17">
        <f>P247-P248</f>
        <v/>
      </c>
    </row>
    <row r="248">
      <c r="A248" s="15" t="n">
        <v>45933</v>
      </c>
      <c r="B248" s="16" t="n">
        <v>3.58</v>
      </c>
      <c r="C248" s="17">
        <f>(B248-B249)*100</f>
        <v/>
      </c>
      <c r="D248" s="16" t="n">
        <v>3.59</v>
      </c>
      <c r="E248" s="17">
        <f>(D248-D249)*100</f>
        <v/>
      </c>
      <c r="F248" s="16" t="n">
        <v>4.13</v>
      </c>
      <c r="G248" s="17">
        <f>(F248-F249)*100</f>
        <v/>
      </c>
      <c r="H248" s="16" t="n">
        <v>4.71</v>
      </c>
      <c r="I248" s="17">
        <f>(H248-H249)*100</f>
        <v/>
      </c>
      <c r="J248" s="17">
        <f>(F248-B248)*100</f>
        <v/>
      </c>
      <c r="K248" s="18">
        <f>(J248-$D$9)/$E$9</f>
        <v/>
      </c>
      <c r="L248" s="17">
        <f>(F248-D248)*100</f>
        <v/>
      </c>
      <c r="M248" s="18">
        <f>(L248-$D$10)/$E$10</f>
        <v/>
      </c>
      <c r="N248" s="17">
        <f>(H248-F248)*100</f>
        <v/>
      </c>
      <c r="O248" s="18">
        <f>(N248-$D$11)/$E$11</f>
        <v/>
      </c>
      <c r="P248" s="17">
        <f>(H248-B248)*100</f>
        <v/>
      </c>
      <c r="Q248" s="18">
        <f>(P248-$D$12)/$E$12</f>
        <v/>
      </c>
      <c r="R248" s="17">
        <f>J248-J249</f>
        <v/>
      </c>
      <c r="S248" s="17">
        <f>L248-L249</f>
        <v/>
      </c>
      <c r="T248" s="17">
        <f>N248-N249</f>
        <v/>
      </c>
      <c r="U248" s="17">
        <f>P248-P249</f>
        <v/>
      </c>
    </row>
    <row r="249">
      <c r="A249" s="15" t="n">
        <v>45932</v>
      </c>
      <c r="B249" s="16" t="n">
        <v>3.55</v>
      </c>
      <c r="C249" s="17">
        <f>(B249-B250)*100</f>
        <v/>
      </c>
      <c r="D249" s="16" t="n">
        <v>3.56</v>
      </c>
      <c r="E249" s="17">
        <f>(D249-D250)*100</f>
        <v/>
      </c>
      <c r="F249" s="16" t="n">
        <v>4.1</v>
      </c>
      <c r="G249" s="17">
        <f>(F249-F250)*100</f>
        <v/>
      </c>
      <c r="H249" s="16" t="n">
        <v>4.69</v>
      </c>
      <c r="I249" s="17">
        <f>(H249-H250)*100</f>
        <v/>
      </c>
      <c r="J249" s="17">
        <f>(F249-B249)*100</f>
        <v/>
      </c>
      <c r="K249" s="18">
        <f>(J249-$D$9)/$E$9</f>
        <v/>
      </c>
      <c r="L249" s="17">
        <f>(F249-D249)*100</f>
        <v/>
      </c>
      <c r="M249" s="18">
        <f>(L249-$D$10)/$E$10</f>
        <v/>
      </c>
      <c r="N249" s="17">
        <f>(H249-F249)*100</f>
        <v/>
      </c>
      <c r="O249" s="18">
        <f>(N249-$D$11)/$E$11</f>
        <v/>
      </c>
      <c r="P249" s="17">
        <f>(H249-B249)*100</f>
        <v/>
      </c>
      <c r="Q249" s="18">
        <f>(P249-$D$12)/$E$12</f>
        <v/>
      </c>
      <c r="R249" s="17">
        <f>J249-J250</f>
        <v/>
      </c>
      <c r="S249" s="17">
        <f>L249-L250</f>
        <v/>
      </c>
      <c r="T249" s="17">
        <f>N249-N250</f>
        <v/>
      </c>
      <c r="U249" s="17">
        <f>P249-P250</f>
        <v/>
      </c>
    </row>
    <row r="250">
      <c r="A250" s="15" t="n">
        <v>45931</v>
      </c>
      <c r="B250" s="16" t="n">
        <v>3.55</v>
      </c>
      <c r="C250" s="17">
        <f>(B250-B251)*100</f>
        <v/>
      </c>
      <c r="D250" s="16" t="n">
        <v>3.56</v>
      </c>
      <c r="E250" s="17">
        <f>(D250-D251)*100</f>
        <v/>
      </c>
      <c r="F250" s="16" t="n">
        <v>4.12</v>
      </c>
      <c r="G250" s="17">
        <f>(F250-F251)*100</f>
        <v/>
      </c>
      <c r="H250" s="16" t="n">
        <v>4.72</v>
      </c>
      <c r="I250" s="17">
        <f>(H250-H251)*100</f>
        <v/>
      </c>
      <c r="J250" s="17">
        <f>(F250-B250)*100</f>
        <v/>
      </c>
      <c r="K250" s="18">
        <f>(J250-$D$9)/$E$9</f>
        <v/>
      </c>
      <c r="L250" s="17">
        <f>(F250-D250)*100</f>
        <v/>
      </c>
      <c r="M250" s="18">
        <f>(L250-$D$10)/$E$10</f>
        <v/>
      </c>
      <c r="N250" s="17">
        <f>(H250-F250)*100</f>
        <v/>
      </c>
      <c r="O250" s="18">
        <f>(N250-$D$11)/$E$11</f>
        <v/>
      </c>
      <c r="P250" s="17">
        <f>(H250-B250)*100</f>
        <v/>
      </c>
      <c r="Q250" s="18">
        <f>(P250-$D$12)/$E$12</f>
        <v/>
      </c>
      <c r="R250" s="17">
        <f>J250-J251</f>
        <v/>
      </c>
      <c r="S250" s="17">
        <f>L250-L251</f>
        <v/>
      </c>
      <c r="T250" s="17">
        <f>N250-N251</f>
        <v/>
      </c>
      <c r="U250" s="17">
        <f>P250-P251</f>
        <v/>
      </c>
    </row>
    <row r="251">
      <c r="A251" s="15" t="n">
        <v>45930</v>
      </c>
      <c r="B251" s="16" t="n">
        <v>3.6</v>
      </c>
      <c r="C251" s="17">
        <f>(B251-B252)*100</f>
        <v/>
      </c>
      <c r="D251" s="16" t="n">
        <v>3.61</v>
      </c>
      <c r="E251" s="17">
        <f>(D251-D252)*100</f>
        <v/>
      </c>
      <c r="F251" s="16" t="n">
        <v>4.16</v>
      </c>
      <c r="G251" s="17">
        <f>(F251-F252)*100</f>
        <v/>
      </c>
      <c r="H251" s="16" t="n">
        <v>4.73</v>
      </c>
      <c r="I251" s="17">
        <f>(H251-H252)*100</f>
        <v/>
      </c>
      <c r="J251" s="17">
        <f>(F251-B251)*100</f>
        <v/>
      </c>
      <c r="K251" s="18">
        <f>(J251-$D$9)/$E$9</f>
        <v/>
      </c>
      <c r="L251" s="17">
        <f>(F251-D251)*100</f>
        <v/>
      </c>
      <c r="M251" s="18">
        <f>(L251-$D$10)/$E$10</f>
        <v/>
      </c>
      <c r="N251" s="17">
        <f>(H251-F251)*100</f>
        <v/>
      </c>
      <c r="O251" s="18">
        <f>(N251-$D$11)/$E$11</f>
        <v/>
      </c>
      <c r="P251" s="17">
        <f>(H251-B251)*100</f>
        <v/>
      </c>
      <c r="Q251" s="18">
        <f>(P251-$D$12)/$E$12</f>
        <v/>
      </c>
      <c r="R251" s="17">
        <f>J251-J252</f>
        <v/>
      </c>
      <c r="S251" s="17">
        <f>L251-L252</f>
        <v/>
      </c>
      <c r="T251" s="17">
        <f>N251-N252</f>
        <v/>
      </c>
      <c r="U251" s="17">
        <f>P251-P252</f>
        <v/>
      </c>
    </row>
    <row r="252">
      <c r="A252" s="15" t="n">
        <v>45929</v>
      </c>
      <c r="B252" s="16" t="n">
        <v>3.63</v>
      </c>
      <c r="C252" s="17">
        <f>(B252-B253)*100</f>
        <v/>
      </c>
      <c r="D252" s="16" t="n">
        <v>3.63</v>
      </c>
      <c r="E252" s="17">
        <f>(D252-D253)*100</f>
        <v/>
      </c>
      <c r="F252" s="16" t="n">
        <v>4.15</v>
      </c>
      <c r="G252" s="17">
        <f>(F252-F253)*100</f>
        <v/>
      </c>
      <c r="H252" s="16" t="n">
        <v>4.71</v>
      </c>
      <c r="I252" s="17">
        <f>(H252-H253)*100</f>
        <v/>
      </c>
      <c r="J252" s="17">
        <f>(F252-B252)*100</f>
        <v/>
      </c>
      <c r="K252" s="18">
        <f>(J252-$D$9)/$E$9</f>
        <v/>
      </c>
      <c r="L252" s="17">
        <f>(F252-D252)*100</f>
        <v/>
      </c>
      <c r="M252" s="18">
        <f>(L252-$D$10)/$E$10</f>
        <v/>
      </c>
      <c r="N252" s="17">
        <f>(H252-F252)*100</f>
        <v/>
      </c>
      <c r="O252" s="18">
        <f>(N252-$D$11)/$E$11</f>
        <v/>
      </c>
      <c r="P252" s="17">
        <f>(H252-B252)*100</f>
        <v/>
      </c>
      <c r="Q252" s="18">
        <f>(P252-$D$12)/$E$12</f>
        <v/>
      </c>
      <c r="R252" s="17">
        <f>J252-J253</f>
        <v/>
      </c>
      <c r="S252" s="17">
        <f>L252-L253</f>
        <v/>
      </c>
      <c r="T252" s="17">
        <f>N252-N253</f>
        <v/>
      </c>
      <c r="U252" s="17">
        <f>P252-P253</f>
        <v/>
      </c>
    </row>
    <row r="253">
      <c r="A253" s="15" t="n">
        <v>45926</v>
      </c>
      <c r="B253" s="16" t="n">
        <v>3.63</v>
      </c>
      <c r="C253" s="17">
        <f>(B253-B254)*100</f>
        <v/>
      </c>
      <c r="D253" s="16" t="n">
        <v>3.66</v>
      </c>
      <c r="E253" s="17">
        <f>(D253-D254)*100</f>
        <v/>
      </c>
      <c r="F253" s="16" t="n">
        <v>4.2</v>
      </c>
      <c r="G253" s="17">
        <f>(F253-F254)*100</f>
        <v/>
      </c>
      <c r="H253" s="16" t="n">
        <v>4.77</v>
      </c>
      <c r="I253" s="17">
        <f>(H253-H254)*100</f>
        <v/>
      </c>
      <c r="J253" s="17">
        <f>(F253-B253)*100</f>
        <v/>
      </c>
      <c r="K253" s="18">
        <f>(J253-$D$9)/$E$9</f>
        <v/>
      </c>
      <c r="L253" s="17">
        <f>(F253-D253)*100</f>
        <v/>
      </c>
      <c r="M253" s="18">
        <f>(L253-$D$10)/$E$10</f>
        <v/>
      </c>
      <c r="N253" s="17">
        <f>(H253-F253)*100</f>
        <v/>
      </c>
      <c r="O253" s="18">
        <f>(N253-$D$11)/$E$11</f>
        <v/>
      </c>
      <c r="P253" s="17">
        <f>(H253-B253)*100</f>
        <v/>
      </c>
      <c r="Q253" s="18">
        <f>(P253-$D$12)/$E$12</f>
        <v/>
      </c>
      <c r="R253" s="17">
        <f>J253-J254</f>
        <v/>
      </c>
      <c r="S253" s="17">
        <f>L253-L254</f>
        <v/>
      </c>
      <c r="T253" s="17">
        <f>N253-N254</f>
        <v/>
      </c>
      <c r="U253" s="17">
        <f>P253-P254</f>
        <v/>
      </c>
    </row>
    <row r="254">
      <c r="A254" s="15" t="n">
        <v>45925</v>
      </c>
      <c r="B254" s="16" t="n">
        <v>3.64</v>
      </c>
      <c r="C254" s="17">
        <f>(B254-B255)*100</f>
        <v/>
      </c>
      <c r="D254" s="16" t="n">
        <v>3.66</v>
      </c>
      <c r="E254" s="17">
        <f>(D254-D255)*100</f>
        <v/>
      </c>
      <c r="F254" s="16" t="n">
        <v>4.18</v>
      </c>
      <c r="G254" s="17">
        <f>(F254-F255)*100</f>
        <v/>
      </c>
      <c r="H254" s="16" t="n">
        <v>4.75</v>
      </c>
      <c r="I254" s="17">
        <f>(H254-H255)*100</f>
        <v/>
      </c>
      <c r="J254" s="17">
        <f>(F254-B254)*100</f>
        <v/>
      </c>
      <c r="K254" s="18">
        <f>(J254-$D$9)/$E$9</f>
        <v/>
      </c>
      <c r="L254" s="17">
        <f>(F254-D254)*100</f>
        <v/>
      </c>
      <c r="M254" s="18">
        <f>(L254-$D$10)/$E$10</f>
        <v/>
      </c>
      <c r="N254" s="17">
        <f>(H254-F254)*100</f>
        <v/>
      </c>
      <c r="O254" s="18">
        <f>(N254-$D$11)/$E$11</f>
        <v/>
      </c>
      <c r="P254" s="17">
        <f>(H254-B254)*100</f>
        <v/>
      </c>
      <c r="Q254" s="18">
        <f>(P254-$D$12)/$E$12</f>
        <v/>
      </c>
      <c r="R254" s="17">
        <f>J254-J255</f>
        <v/>
      </c>
      <c r="S254" s="17">
        <f>L254-L255</f>
        <v/>
      </c>
      <c r="T254" s="17">
        <f>N254-N255</f>
        <v/>
      </c>
      <c r="U254" s="17">
        <f>P254-P255</f>
        <v/>
      </c>
    </row>
    <row r="255">
      <c r="A255" s="15" t="n">
        <v>45924</v>
      </c>
      <c r="B255" s="16" t="n">
        <v>3.57</v>
      </c>
      <c r="C255" s="17">
        <f>(B255-B256)*100</f>
        <v/>
      </c>
      <c r="D255" s="16" t="n">
        <v>3.6</v>
      </c>
      <c r="E255" s="17">
        <f>(D255-D256)*100</f>
        <v/>
      </c>
      <c r="F255" s="16" t="n">
        <v>4.16</v>
      </c>
      <c r="G255" s="17">
        <f>(F255-F256)*100</f>
        <v/>
      </c>
      <c r="H255" s="16" t="n">
        <v>4.76</v>
      </c>
      <c r="I255" s="17">
        <f>(H255-H256)*100</f>
        <v/>
      </c>
      <c r="J255" s="17">
        <f>(F255-B255)*100</f>
        <v/>
      </c>
      <c r="K255" s="18">
        <f>(J255-$D$9)/$E$9</f>
        <v/>
      </c>
      <c r="L255" s="17">
        <f>(F255-D255)*100</f>
        <v/>
      </c>
      <c r="M255" s="18">
        <f>(L255-$D$10)/$E$10</f>
        <v/>
      </c>
      <c r="N255" s="17">
        <f>(H255-F255)*100</f>
        <v/>
      </c>
      <c r="O255" s="18">
        <f>(N255-$D$11)/$E$11</f>
        <v/>
      </c>
      <c r="P255" s="17">
        <f>(H255-B255)*100</f>
        <v/>
      </c>
      <c r="Q255" s="18">
        <f>(P255-$D$12)/$E$12</f>
        <v/>
      </c>
      <c r="R255" s="17">
        <f>J255-J256</f>
        <v/>
      </c>
      <c r="S255" s="17">
        <f>L255-L256</f>
        <v/>
      </c>
      <c r="T255" s="17">
        <f>N255-N256</f>
        <v/>
      </c>
      <c r="U255" s="17">
        <f>P255-P256</f>
        <v/>
      </c>
    </row>
    <row r="256">
      <c r="A256" s="15" t="n">
        <v>45923</v>
      </c>
      <c r="B256" s="16" t="n">
        <v>3.53</v>
      </c>
      <c r="C256" s="17">
        <f>(B256-B257)*100</f>
        <v/>
      </c>
      <c r="D256" s="16" t="n">
        <v>3.57</v>
      </c>
      <c r="E256" s="17">
        <f>(D256-D257)*100</f>
        <v/>
      </c>
      <c r="F256" s="16" t="n">
        <v>4.12</v>
      </c>
      <c r="G256" s="17">
        <f>(F256-F257)*100</f>
        <v/>
      </c>
      <c r="H256" s="16" t="n">
        <v>4.73</v>
      </c>
      <c r="I256" s="17">
        <f>(H256-H257)*100</f>
        <v/>
      </c>
      <c r="J256" s="17">
        <f>(F256-B256)*100</f>
        <v/>
      </c>
      <c r="K256" s="18">
        <f>(J256-$D$9)/$E$9</f>
        <v/>
      </c>
      <c r="L256" s="17">
        <f>(F256-D256)*100</f>
        <v/>
      </c>
      <c r="M256" s="18">
        <f>(L256-$D$10)/$E$10</f>
        <v/>
      </c>
      <c r="N256" s="17">
        <f>(H256-F256)*100</f>
        <v/>
      </c>
      <c r="O256" s="18">
        <f>(N256-$D$11)/$E$11</f>
        <v/>
      </c>
      <c r="P256" s="17">
        <f>(H256-B256)*100</f>
        <v/>
      </c>
      <c r="Q256" s="18">
        <f>(P256-$D$12)/$E$12</f>
        <v/>
      </c>
      <c r="R256" s="17">
        <f>J256-J257</f>
        <v/>
      </c>
      <c r="S256" s="17">
        <f>L256-L257</f>
        <v/>
      </c>
      <c r="T256" s="17">
        <f>N256-N257</f>
        <v/>
      </c>
      <c r="U256" s="17">
        <f>P256-P257</f>
        <v/>
      </c>
    </row>
    <row r="257">
      <c r="A257" s="15" t="n">
        <v>45922</v>
      </c>
      <c r="B257" s="16" t="n">
        <v>3.61</v>
      </c>
      <c r="C257" s="17">
        <f>(B257-B258)*100</f>
        <v/>
      </c>
      <c r="D257" s="16" t="n">
        <v>3.59</v>
      </c>
      <c r="E257" s="17">
        <f>(D257-D258)*100</f>
        <v/>
      </c>
      <c r="F257" s="16" t="n">
        <v>4.15</v>
      </c>
      <c r="G257" s="17">
        <f>(F257-F258)*100</f>
        <v/>
      </c>
      <c r="H257" s="16" t="n">
        <v>4.77</v>
      </c>
      <c r="I257" s="17">
        <f>(H257-H258)*100</f>
        <v/>
      </c>
      <c r="J257" s="17">
        <f>(F257-B257)*100</f>
        <v/>
      </c>
      <c r="K257" s="18">
        <f>(J257-$D$9)/$E$9</f>
        <v/>
      </c>
      <c r="L257" s="17">
        <f>(F257-D257)*100</f>
        <v/>
      </c>
      <c r="M257" s="18">
        <f>(L257-$D$10)/$E$10</f>
        <v/>
      </c>
      <c r="N257" s="17">
        <f>(H257-F257)*100</f>
        <v/>
      </c>
      <c r="O257" s="18">
        <f>(N257-$D$11)/$E$11</f>
        <v/>
      </c>
      <c r="P257" s="17">
        <f>(H257-B257)*100</f>
        <v/>
      </c>
      <c r="Q257" s="18">
        <f>(P257-$D$12)/$E$12</f>
        <v/>
      </c>
      <c r="R257" s="17">
        <f>J257-J258</f>
        <v/>
      </c>
      <c r="S257" s="17">
        <f>L257-L258</f>
        <v/>
      </c>
      <c r="T257" s="17">
        <f>N257-N258</f>
        <v/>
      </c>
      <c r="U257" s="17">
        <f>P257-P258</f>
        <v/>
      </c>
    </row>
    <row r="258">
      <c r="A258" s="15" t="n">
        <v>45919</v>
      </c>
      <c r="B258" s="16" t="n">
        <v>3.57</v>
      </c>
      <c r="C258" s="17">
        <f>(B258-B259)*100</f>
        <v/>
      </c>
      <c r="D258" s="16" t="n">
        <v>3.56</v>
      </c>
      <c r="E258" s="17">
        <f>(D258-D259)*100</f>
        <v/>
      </c>
      <c r="F258" s="16" t="n">
        <v>4.14</v>
      </c>
      <c r="G258" s="17">
        <f>(F258-F259)*100</f>
        <v/>
      </c>
      <c r="H258" s="16" t="n">
        <v>4.75</v>
      </c>
      <c r="I258" s="17">
        <f>(H258-H259)*100</f>
        <v/>
      </c>
      <c r="J258" s="17">
        <f>(F258-B258)*100</f>
        <v/>
      </c>
      <c r="K258" s="18">
        <f>(J258-$D$9)/$E$9</f>
        <v/>
      </c>
      <c r="L258" s="17">
        <f>(F258-D258)*100</f>
        <v/>
      </c>
      <c r="M258" s="18">
        <f>(L258-$D$10)/$E$10</f>
        <v/>
      </c>
      <c r="N258" s="17">
        <f>(H258-F258)*100</f>
        <v/>
      </c>
      <c r="O258" s="18">
        <f>(N258-$D$11)/$E$11</f>
        <v/>
      </c>
      <c r="P258" s="17">
        <f>(H258-B258)*100</f>
        <v/>
      </c>
      <c r="Q258" s="18">
        <f>(P258-$D$12)/$E$12</f>
        <v/>
      </c>
      <c r="R258" s="17">
        <f>J258-J259</f>
        <v/>
      </c>
      <c r="S258" s="17">
        <f>L258-L259</f>
        <v/>
      </c>
      <c r="T258" s="17">
        <f>N258-N259</f>
        <v/>
      </c>
      <c r="U258" s="17">
        <f>P258-P259</f>
        <v/>
      </c>
    </row>
    <row r="259">
      <c r="A259" s="15" t="n">
        <v>45918</v>
      </c>
      <c r="B259" s="16" t="n">
        <v>3.57</v>
      </c>
      <c r="C259" s="17">
        <f>(B259-B260)*100</f>
        <v/>
      </c>
      <c r="D259" s="16" t="n">
        <v>3.55</v>
      </c>
      <c r="E259" s="17">
        <f>(D259-D260)*100</f>
        <v/>
      </c>
      <c r="F259" s="16" t="n">
        <v>4.11</v>
      </c>
      <c r="G259" s="17">
        <f>(F259-F260)*100</f>
        <v/>
      </c>
      <c r="H259" s="16" t="n">
        <v>4.72</v>
      </c>
      <c r="I259" s="17">
        <f>(H259-H260)*100</f>
        <v/>
      </c>
      <c r="J259" s="17">
        <f>(F259-B259)*100</f>
        <v/>
      </c>
      <c r="K259" s="18">
        <f>(J259-$D$9)/$E$9</f>
        <v/>
      </c>
      <c r="L259" s="17">
        <f>(F259-D259)*100</f>
        <v/>
      </c>
      <c r="M259" s="18">
        <f>(L259-$D$10)/$E$10</f>
        <v/>
      </c>
      <c r="N259" s="17">
        <f>(H259-F259)*100</f>
        <v/>
      </c>
      <c r="O259" s="18">
        <f>(N259-$D$11)/$E$11</f>
        <v/>
      </c>
      <c r="P259" s="17">
        <f>(H259-B259)*100</f>
        <v/>
      </c>
      <c r="Q259" s="18">
        <f>(P259-$D$12)/$E$12</f>
        <v/>
      </c>
      <c r="R259" s="17">
        <f>J259-J260</f>
        <v/>
      </c>
      <c r="S259" s="17">
        <f>L259-L260</f>
        <v/>
      </c>
      <c r="T259" s="17">
        <f>N259-N260</f>
        <v/>
      </c>
      <c r="U259" s="17">
        <f>P259-P260</f>
        <v/>
      </c>
    </row>
    <row r="260">
      <c r="A260" s="15" t="n">
        <v>45917</v>
      </c>
      <c r="B260" s="16" t="n">
        <v>3.52</v>
      </c>
      <c r="C260" s="17">
        <f>(B260-B261)*100</f>
        <v/>
      </c>
      <c r="D260" s="16" t="n">
        <v>3.51</v>
      </c>
      <c r="E260" s="17">
        <f>(D260-D261)*100</f>
        <v/>
      </c>
      <c r="F260" s="16" t="n">
        <v>4.06</v>
      </c>
      <c r="G260" s="17">
        <f>(F260-F261)*100</f>
        <v/>
      </c>
      <c r="H260" s="16" t="n">
        <v>4.66</v>
      </c>
      <c r="I260" s="17">
        <f>(H260-H261)*100</f>
        <v/>
      </c>
      <c r="J260" s="17">
        <f>(F260-B260)*100</f>
        <v/>
      </c>
      <c r="K260" s="18">
        <f>(J260-$D$9)/$E$9</f>
        <v/>
      </c>
      <c r="L260" s="17">
        <f>(F260-D260)*100</f>
        <v/>
      </c>
      <c r="M260" s="18">
        <f>(L260-$D$10)/$E$10</f>
        <v/>
      </c>
      <c r="N260" s="17">
        <f>(H260-F260)*100</f>
        <v/>
      </c>
      <c r="O260" s="18">
        <f>(N260-$D$11)/$E$11</f>
        <v/>
      </c>
      <c r="P260" s="17">
        <f>(H260-B260)*100</f>
        <v/>
      </c>
      <c r="Q260" s="18">
        <f>(P260-$D$12)/$E$12</f>
        <v/>
      </c>
      <c r="R260" s="17">
        <f>J260-J261</f>
        <v/>
      </c>
      <c r="S260" s="17">
        <f>L260-L261</f>
        <v/>
      </c>
      <c r="T260" s="17">
        <f>N260-N261</f>
        <v/>
      </c>
      <c r="U260" s="17">
        <f>P260-P261</f>
        <v/>
      </c>
    </row>
    <row r="261">
      <c r="A261" s="15" t="n">
        <v>45916</v>
      </c>
      <c r="B261" s="16" t="n">
        <v>3.51</v>
      </c>
      <c r="C261" s="17">
        <f>(B261-B262)*100</f>
        <v/>
      </c>
      <c r="D261" s="16" t="n">
        <v>3.47</v>
      </c>
      <c r="E261" s="17">
        <f>(D261-D262)*100</f>
        <v/>
      </c>
      <c r="F261" s="16" t="n">
        <v>4.04</v>
      </c>
      <c r="G261" s="17">
        <f>(F261-F262)*100</f>
        <v/>
      </c>
      <c r="H261" s="16" t="n">
        <v>4.65</v>
      </c>
      <c r="I261" s="17">
        <f>(H261-H262)*100</f>
        <v/>
      </c>
      <c r="J261" s="17">
        <f>(F261-B261)*100</f>
        <v/>
      </c>
      <c r="K261" s="18">
        <f>(J261-$D$9)/$E$9</f>
        <v/>
      </c>
      <c r="L261" s="17">
        <f>(F261-D261)*100</f>
        <v/>
      </c>
      <c r="M261" s="18">
        <f>(L261-$D$10)/$E$10</f>
        <v/>
      </c>
      <c r="N261" s="17">
        <f>(H261-F261)*100</f>
        <v/>
      </c>
      <c r="O261" s="18">
        <f>(N261-$D$11)/$E$11</f>
        <v/>
      </c>
      <c r="P261" s="17">
        <f>(H261-B261)*100</f>
        <v/>
      </c>
      <c r="Q261" s="18">
        <f>(P261-$D$12)/$E$12</f>
        <v/>
      </c>
      <c r="R261" s="17">
        <f>J261-J262</f>
        <v/>
      </c>
      <c r="S261" s="17">
        <f>L261-L262</f>
        <v/>
      </c>
      <c r="T261" s="17">
        <f>N261-N262</f>
        <v/>
      </c>
      <c r="U261" s="17">
        <f>P261-P262</f>
        <v/>
      </c>
    </row>
    <row r="262">
      <c r="A262" s="15" t="n">
        <v>45915</v>
      </c>
      <c r="B262" s="16" t="n">
        <v>3.54</v>
      </c>
      <c r="C262" s="17">
        <f>(B262-B263)*100</f>
        <v/>
      </c>
      <c r="D262" s="16" t="n">
        <v>3.5</v>
      </c>
      <c r="E262" s="17">
        <f>(D262-D263)*100</f>
        <v/>
      </c>
      <c r="F262" s="16" t="n">
        <v>4.05</v>
      </c>
      <c r="G262" s="17">
        <f>(F262-F263)*100</f>
        <v/>
      </c>
      <c r="H262" s="16" t="n">
        <v>4.66</v>
      </c>
      <c r="I262" s="17">
        <f>(H262-H263)*100</f>
        <v/>
      </c>
      <c r="J262" s="17">
        <f>(F262-B262)*100</f>
        <v/>
      </c>
      <c r="K262" s="18">
        <f>(J262-$D$9)/$E$9</f>
        <v/>
      </c>
      <c r="L262" s="17">
        <f>(F262-D262)*100</f>
        <v/>
      </c>
      <c r="M262" s="18">
        <f>(L262-$D$10)/$E$10</f>
        <v/>
      </c>
      <c r="N262" s="17">
        <f>(H262-F262)*100</f>
        <v/>
      </c>
      <c r="O262" s="18">
        <f>(N262-$D$11)/$E$11</f>
        <v/>
      </c>
      <c r="P262" s="17">
        <f>(H262-B262)*100</f>
        <v/>
      </c>
      <c r="Q262" s="18">
        <f>(P262-$D$12)/$E$12</f>
        <v/>
      </c>
      <c r="R262" s="17">
        <f>J262-J263</f>
        <v/>
      </c>
      <c r="S262" s="17">
        <f>L262-L263</f>
        <v/>
      </c>
      <c r="T262" s="17">
        <f>N262-N263</f>
        <v/>
      </c>
      <c r="U262" s="17">
        <f>P262-P263</f>
        <v/>
      </c>
    </row>
    <row r="263">
      <c r="A263" s="15" t="n">
        <v>45912</v>
      </c>
      <c r="B263" s="16" t="n">
        <v>3.56</v>
      </c>
      <c r="C263" s="17">
        <f>(B263-B264)*100</f>
        <v/>
      </c>
      <c r="D263" s="16" t="n">
        <v>3.52</v>
      </c>
      <c r="E263" s="17">
        <f>(D263-D264)*100</f>
        <v/>
      </c>
      <c r="F263" s="16" t="n">
        <v>4.06</v>
      </c>
      <c r="G263" s="17">
        <f>(F263-F264)*100</f>
        <v/>
      </c>
      <c r="H263" s="16" t="n">
        <v>4.68</v>
      </c>
      <c r="I263" s="17">
        <f>(H263-H264)*100</f>
        <v/>
      </c>
      <c r="J263" s="17">
        <f>(F263-B263)*100</f>
        <v/>
      </c>
      <c r="K263" s="18">
        <f>(J263-$D$9)/$E$9</f>
        <v/>
      </c>
      <c r="L263" s="17">
        <f>(F263-D263)*100</f>
        <v/>
      </c>
      <c r="M263" s="18">
        <f>(L263-$D$10)/$E$10</f>
        <v/>
      </c>
      <c r="N263" s="17">
        <f>(H263-F263)*100</f>
        <v/>
      </c>
      <c r="O263" s="18">
        <f>(N263-$D$11)/$E$11</f>
        <v/>
      </c>
      <c r="P263" s="17">
        <f>(H263-B263)*100</f>
        <v/>
      </c>
      <c r="Q263" s="18">
        <f>(P263-$D$12)/$E$12</f>
        <v/>
      </c>
      <c r="R263" s="17">
        <f>J263-J264</f>
        <v/>
      </c>
      <c r="S263" s="17">
        <f>L263-L264</f>
        <v/>
      </c>
      <c r="T263" s="17">
        <f>N263-N264</f>
        <v/>
      </c>
      <c r="U263" s="17">
        <f>P263-P264</f>
        <v/>
      </c>
    </row>
    <row r="264">
      <c r="A264" s="15" t="n">
        <v>45911</v>
      </c>
      <c r="B264" s="16" t="n">
        <v>3.52</v>
      </c>
      <c r="C264" s="17">
        <f>(B264-B265)*100</f>
        <v/>
      </c>
      <c r="D264" s="16" t="n">
        <v>3.47</v>
      </c>
      <c r="E264" s="17">
        <f>(D264-D265)*100</f>
        <v/>
      </c>
      <c r="F264" s="16" t="n">
        <v>4.01</v>
      </c>
      <c r="G264" s="17">
        <f>(F264-F265)*100</f>
        <v/>
      </c>
      <c r="H264" s="16" t="n">
        <v>4.65</v>
      </c>
      <c r="I264" s="17">
        <f>(H264-H265)*100</f>
        <v/>
      </c>
      <c r="J264" s="17">
        <f>(F264-B264)*100</f>
        <v/>
      </c>
      <c r="K264" s="18">
        <f>(J264-$D$9)/$E$9</f>
        <v/>
      </c>
      <c r="L264" s="17">
        <f>(F264-D264)*100</f>
        <v/>
      </c>
      <c r="M264" s="18">
        <f>(L264-$D$10)/$E$10</f>
        <v/>
      </c>
      <c r="N264" s="17">
        <f>(H264-F264)*100</f>
        <v/>
      </c>
      <c r="O264" s="18">
        <f>(N264-$D$11)/$E$11</f>
        <v/>
      </c>
      <c r="P264" s="17">
        <f>(H264-B264)*100</f>
        <v/>
      </c>
      <c r="Q264" s="18">
        <f>(P264-$D$12)/$E$12</f>
        <v/>
      </c>
      <c r="R264" s="17">
        <f>J264-J265</f>
        <v/>
      </c>
      <c r="S264" s="17">
        <f>L264-L265</f>
        <v/>
      </c>
      <c r="T264" s="17">
        <f>N264-N265</f>
        <v/>
      </c>
      <c r="U264" s="17">
        <f>P264-P265</f>
        <v/>
      </c>
    </row>
    <row r="265">
      <c r="A265" s="15" t="n">
        <v>45910</v>
      </c>
      <c r="B265" s="16" t="n">
        <v>3.54</v>
      </c>
      <c r="C265" s="17">
        <f>(B265-B266)*100</f>
        <v/>
      </c>
      <c r="D265" s="16" t="n">
        <v>3.47</v>
      </c>
      <c r="E265" s="17">
        <f>(D265-D266)*100</f>
        <v/>
      </c>
      <c r="F265" s="16" t="n">
        <v>4.04</v>
      </c>
      <c r="G265" s="17">
        <f>(F265-F266)*100</f>
        <v/>
      </c>
      <c r="H265" s="16" t="n">
        <v>4.69</v>
      </c>
      <c r="I265" s="17">
        <f>(H265-H266)*100</f>
        <v/>
      </c>
      <c r="J265" s="17">
        <f>(F265-B265)*100</f>
        <v/>
      </c>
      <c r="K265" s="18">
        <f>(J265-$D$9)/$E$9</f>
        <v/>
      </c>
      <c r="L265" s="17">
        <f>(F265-D265)*100</f>
        <v/>
      </c>
      <c r="M265" s="18">
        <f>(L265-$D$10)/$E$10</f>
        <v/>
      </c>
      <c r="N265" s="17">
        <f>(H265-F265)*100</f>
        <v/>
      </c>
      <c r="O265" s="18">
        <f>(N265-$D$11)/$E$11</f>
        <v/>
      </c>
      <c r="P265" s="17">
        <f>(H265-B265)*100</f>
        <v/>
      </c>
      <c r="Q265" s="18">
        <f>(P265-$D$12)/$E$12</f>
        <v/>
      </c>
      <c r="R265" s="17">
        <f>J265-J266</f>
        <v/>
      </c>
      <c r="S265" s="17">
        <f>L265-L266</f>
        <v/>
      </c>
      <c r="T265" s="17">
        <f>N265-N266</f>
        <v/>
      </c>
      <c r="U265" s="17">
        <f>P265-P266</f>
        <v/>
      </c>
    </row>
    <row r="266">
      <c r="A266" s="15" t="n">
        <v>45909</v>
      </c>
      <c r="B266" s="16" t="n">
        <v>3.54</v>
      </c>
      <c r="C266" s="17">
        <f>(B266-B267)*100</f>
        <v/>
      </c>
      <c r="D266" s="16" t="n">
        <v>3.48</v>
      </c>
      <c r="E266" s="17">
        <f>(D266-D267)*100</f>
        <v/>
      </c>
      <c r="F266" s="16" t="n">
        <v>4.08</v>
      </c>
      <c r="G266" s="17">
        <f>(F266-F267)*100</f>
        <v/>
      </c>
      <c r="H266" s="16" t="n">
        <v>4.72</v>
      </c>
      <c r="I266" s="17">
        <f>(H266-H267)*100</f>
        <v/>
      </c>
      <c r="J266" s="17">
        <f>(F266-B266)*100</f>
        <v/>
      </c>
      <c r="K266" s="18">
        <f>(J266-$D$9)/$E$9</f>
        <v/>
      </c>
      <c r="L266" s="17">
        <f>(F266-D266)*100</f>
        <v/>
      </c>
      <c r="M266" s="18">
        <f>(L266-$D$10)/$E$10</f>
        <v/>
      </c>
      <c r="N266" s="17">
        <f>(H266-F266)*100</f>
        <v/>
      </c>
      <c r="O266" s="18">
        <f>(N266-$D$11)/$E$11</f>
        <v/>
      </c>
      <c r="P266" s="17">
        <f>(H266-B266)*100</f>
        <v/>
      </c>
      <c r="Q266" s="18">
        <f>(P266-$D$12)/$E$12</f>
        <v/>
      </c>
      <c r="R266" s="17">
        <f>J266-J267</f>
        <v/>
      </c>
      <c r="S266" s="17">
        <f>L266-L267</f>
        <v/>
      </c>
      <c r="T266" s="17">
        <f>N266-N267</f>
        <v/>
      </c>
      <c r="U266" s="17">
        <f>P266-P267</f>
        <v/>
      </c>
    </row>
    <row r="267">
      <c r="A267" s="15" t="n">
        <v>45908</v>
      </c>
      <c r="B267" s="16" t="n">
        <v>3.49</v>
      </c>
      <c r="C267" s="17">
        <f>(B267-B268)*100</f>
        <v/>
      </c>
      <c r="D267" s="16" t="n">
        <v>3.47</v>
      </c>
      <c r="E267" s="17">
        <f>(D267-D268)*100</f>
        <v/>
      </c>
      <c r="F267" s="16" t="n">
        <v>4.05</v>
      </c>
      <c r="G267" s="17">
        <f>(F267-F268)*100</f>
        <v/>
      </c>
      <c r="H267" s="16" t="n">
        <v>4.69</v>
      </c>
      <c r="I267" s="17">
        <f>(H267-H268)*100</f>
        <v/>
      </c>
      <c r="J267" s="17">
        <f>(F267-B267)*100</f>
        <v/>
      </c>
      <c r="K267" s="18">
        <f>(J267-$D$9)/$E$9</f>
        <v/>
      </c>
      <c r="L267" s="17">
        <f>(F267-D267)*100</f>
        <v/>
      </c>
      <c r="M267" s="18">
        <f>(L267-$D$10)/$E$10</f>
        <v/>
      </c>
      <c r="N267" s="17">
        <f>(H267-F267)*100</f>
        <v/>
      </c>
      <c r="O267" s="18">
        <f>(N267-$D$11)/$E$11</f>
        <v/>
      </c>
      <c r="P267" s="17">
        <f>(H267-B267)*100</f>
        <v/>
      </c>
      <c r="Q267" s="18">
        <f>(P267-$D$12)/$E$12</f>
        <v/>
      </c>
      <c r="R267" s="17">
        <f>J267-J268</f>
        <v/>
      </c>
      <c r="S267" s="17">
        <f>L267-L268</f>
        <v/>
      </c>
      <c r="T267" s="17">
        <f>N267-N268</f>
        <v/>
      </c>
      <c r="U267" s="17">
        <f>P267-P268</f>
        <v/>
      </c>
    </row>
    <row r="268">
      <c r="A268" s="15" t="n">
        <v>45905</v>
      </c>
      <c r="B268" s="16" t="n">
        <v>3.51</v>
      </c>
      <c r="C268" s="17">
        <f>(B268-B269)*100</f>
        <v/>
      </c>
      <c r="D268" s="16" t="n">
        <v>3.48</v>
      </c>
      <c r="E268" s="17">
        <f>(D268-D269)*100</f>
        <v/>
      </c>
      <c r="F268" s="16" t="n">
        <v>4.1</v>
      </c>
      <c r="G268" s="17">
        <f>(F268-F269)*100</f>
        <v/>
      </c>
      <c r="H268" s="16" t="n">
        <v>4.78</v>
      </c>
      <c r="I268" s="17">
        <f>(H268-H269)*100</f>
        <v/>
      </c>
      <c r="J268" s="17">
        <f>(F268-B268)*100</f>
        <v/>
      </c>
      <c r="K268" s="18">
        <f>(J268-$D$9)/$E$9</f>
        <v/>
      </c>
      <c r="L268" s="17">
        <f>(F268-D268)*100</f>
        <v/>
      </c>
      <c r="M268" s="18">
        <f>(L268-$D$10)/$E$10</f>
        <v/>
      </c>
      <c r="N268" s="17">
        <f>(H268-F268)*100</f>
        <v/>
      </c>
      <c r="O268" s="18">
        <f>(N268-$D$11)/$E$11</f>
        <v/>
      </c>
      <c r="P268" s="17">
        <f>(H268-B268)*100</f>
        <v/>
      </c>
      <c r="Q268" s="18">
        <f>(P268-$D$12)/$E$12</f>
        <v/>
      </c>
      <c r="R268" s="17">
        <f>J268-J269</f>
        <v/>
      </c>
      <c r="S268" s="17">
        <f>L268-L269</f>
        <v/>
      </c>
      <c r="T268" s="17">
        <f>N268-N269</f>
        <v/>
      </c>
      <c r="U268" s="17">
        <f>P268-P269</f>
        <v/>
      </c>
    </row>
    <row r="269">
      <c r="A269" s="15" t="n">
        <v>45904</v>
      </c>
      <c r="B269" s="16" t="n">
        <v>3.59</v>
      </c>
      <c r="C269" s="17">
        <f>(B269-B270)*100</f>
        <v/>
      </c>
      <c r="D269" s="16" t="n">
        <v>3.55</v>
      </c>
      <c r="E269" s="17">
        <f>(D269-D270)*100</f>
        <v/>
      </c>
      <c r="F269" s="16" t="n">
        <v>4.17</v>
      </c>
      <c r="G269" s="17">
        <f>(F269-F270)*100</f>
        <v/>
      </c>
      <c r="H269" s="16" t="n">
        <v>4.86</v>
      </c>
      <c r="I269" s="17">
        <f>(H269-H270)*100</f>
        <v/>
      </c>
      <c r="J269" s="17">
        <f>(F269-B269)*100</f>
        <v/>
      </c>
      <c r="K269" s="18">
        <f>(J269-$D$9)/$E$9</f>
        <v/>
      </c>
      <c r="L269" s="17">
        <f>(F269-D269)*100</f>
        <v/>
      </c>
      <c r="M269" s="18">
        <f>(L269-$D$10)/$E$10</f>
        <v/>
      </c>
      <c r="N269" s="17">
        <f>(H269-F269)*100</f>
        <v/>
      </c>
      <c r="O269" s="18">
        <f>(N269-$D$11)/$E$11</f>
        <v/>
      </c>
      <c r="P269" s="17">
        <f>(H269-B269)*100</f>
        <v/>
      </c>
      <c r="Q269" s="18">
        <f>(P269-$D$12)/$E$12</f>
        <v/>
      </c>
      <c r="R269" s="17">
        <f>J269-J270</f>
        <v/>
      </c>
      <c r="S269" s="17">
        <f>L269-L270</f>
        <v/>
      </c>
      <c r="T269" s="17">
        <f>N269-N270</f>
        <v/>
      </c>
      <c r="U269" s="17">
        <f>P269-P270</f>
        <v/>
      </c>
    </row>
    <row r="270">
      <c r="A270" s="15" t="n">
        <v>45903</v>
      </c>
      <c r="B270" s="16" t="n">
        <v>3.61</v>
      </c>
      <c r="C270" s="17">
        <f>(B270-B271)*100</f>
        <v/>
      </c>
      <c r="D270" s="16" t="n">
        <v>3.58</v>
      </c>
      <c r="E270" s="17">
        <f>(D270-D271)*100</f>
        <v/>
      </c>
      <c r="F270" s="16" t="n">
        <v>4.22</v>
      </c>
      <c r="G270" s="17">
        <f>(F270-F271)*100</f>
        <v/>
      </c>
      <c r="H270" s="16" t="n">
        <v>4.9</v>
      </c>
      <c r="I270" s="17">
        <f>(H270-H271)*100</f>
        <v/>
      </c>
      <c r="J270" s="17">
        <f>(F270-B270)*100</f>
        <v/>
      </c>
      <c r="K270" s="18">
        <f>(J270-$D$9)/$E$9</f>
        <v/>
      </c>
      <c r="L270" s="17">
        <f>(F270-D270)*100</f>
        <v/>
      </c>
      <c r="M270" s="18">
        <f>(L270-$D$10)/$E$10</f>
        <v/>
      </c>
      <c r="N270" s="17">
        <f>(H270-F270)*100</f>
        <v/>
      </c>
      <c r="O270" s="18">
        <f>(N270-$D$11)/$E$11</f>
        <v/>
      </c>
      <c r="P270" s="17">
        <f>(H270-B270)*100</f>
        <v/>
      </c>
      <c r="Q270" s="18">
        <f>(P270-$D$12)/$E$12</f>
        <v/>
      </c>
      <c r="R270" s="17">
        <f>J270-J271</f>
        <v/>
      </c>
      <c r="S270" s="17">
        <f>L270-L271</f>
        <v/>
      </c>
      <c r="T270" s="17">
        <f>N270-N271</f>
        <v/>
      </c>
      <c r="U270" s="17">
        <f>P270-P271</f>
        <v/>
      </c>
    </row>
    <row r="271">
      <c r="A271" s="15" t="n">
        <v>45902</v>
      </c>
      <c r="B271" s="16" t="n">
        <v>3.66</v>
      </c>
      <c r="C271" s="17">
        <f>(B271-B272)*100</f>
        <v/>
      </c>
      <c r="D271" s="16" t="n">
        <v>3.63</v>
      </c>
      <c r="E271" s="17">
        <f>(D271-D272)*100</f>
        <v/>
      </c>
      <c r="F271" s="16" t="n">
        <v>4.28</v>
      </c>
      <c r="G271" s="17">
        <f>(F271-F272)*100</f>
        <v/>
      </c>
      <c r="H271" s="16" t="n">
        <v>4.97</v>
      </c>
      <c r="I271" s="17">
        <f>(H271-H272)*100</f>
        <v/>
      </c>
      <c r="J271" s="17">
        <f>(F271-B271)*100</f>
        <v/>
      </c>
      <c r="K271" s="18">
        <f>(J271-$D$9)/$E$9</f>
        <v/>
      </c>
      <c r="L271" s="17">
        <f>(F271-D271)*100</f>
        <v/>
      </c>
      <c r="M271" s="18">
        <f>(L271-$D$10)/$E$10</f>
        <v/>
      </c>
      <c r="N271" s="17">
        <f>(H271-F271)*100</f>
        <v/>
      </c>
      <c r="O271" s="18">
        <f>(N271-$D$11)/$E$11</f>
        <v/>
      </c>
      <c r="P271" s="17">
        <f>(H271-B271)*100</f>
        <v/>
      </c>
      <c r="Q271" s="18">
        <f>(P271-$D$12)/$E$12</f>
        <v/>
      </c>
      <c r="R271" s="17">
        <f>J271-J272</f>
        <v/>
      </c>
      <c r="S271" s="17">
        <f>L271-L272</f>
        <v/>
      </c>
      <c r="T271" s="17">
        <f>N271-N272</f>
        <v/>
      </c>
      <c r="U271" s="17">
        <f>P271-P272</f>
        <v/>
      </c>
    </row>
    <row r="272">
      <c r="A272" s="15" t="n">
        <v>45898</v>
      </c>
      <c r="B272" s="16" t="n">
        <v>3.59</v>
      </c>
      <c r="C272" s="17">
        <f>(B272-B273)*100</f>
        <v/>
      </c>
      <c r="D272" s="16" t="n">
        <v>3.58</v>
      </c>
      <c r="E272" s="17">
        <f>(D272-D273)*100</f>
        <v/>
      </c>
      <c r="F272" s="16" t="n">
        <v>4.23</v>
      </c>
      <c r="G272" s="17">
        <f>(F272-F273)*100</f>
        <v/>
      </c>
      <c r="H272" s="16" t="n">
        <v>4.92</v>
      </c>
      <c r="I272" s="17">
        <f>(H272-H273)*100</f>
        <v/>
      </c>
      <c r="J272" s="17">
        <f>(F272-B272)*100</f>
        <v/>
      </c>
      <c r="K272" s="18">
        <f>(J272-$D$9)/$E$9</f>
        <v/>
      </c>
      <c r="L272" s="17">
        <f>(F272-D272)*100</f>
        <v/>
      </c>
      <c r="M272" s="18">
        <f>(L272-$D$10)/$E$10</f>
        <v/>
      </c>
      <c r="N272" s="17">
        <f>(H272-F272)*100</f>
        <v/>
      </c>
      <c r="O272" s="18">
        <f>(N272-$D$11)/$E$11</f>
        <v/>
      </c>
      <c r="P272" s="17">
        <f>(H272-B272)*100</f>
        <v/>
      </c>
      <c r="Q272" s="18">
        <f>(P272-$D$12)/$E$12</f>
        <v/>
      </c>
      <c r="R272" s="17">
        <f>J272-J273</f>
        <v/>
      </c>
      <c r="S272" s="17">
        <f>L272-L273</f>
        <v/>
      </c>
      <c r="T272" s="17">
        <f>N272-N273</f>
        <v/>
      </c>
      <c r="U272" s="17">
        <f>P272-P273</f>
        <v/>
      </c>
    </row>
    <row r="273">
      <c r="A273" s="15" t="n">
        <v>45897</v>
      </c>
      <c r="B273" s="16" t="n">
        <v>3.62</v>
      </c>
      <c r="C273" s="17">
        <f>(B273-B274)*100</f>
        <v/>
      </c>
      <c r="D273" s="16" t="n">
        <v>3.6</v>
      </c>
      <c r="E273" s="17">
        <f>(D273-D274)*100</f>
        <v/>
      </c>
      <c r="F273" s="16" t="n">
        <v>4.22</v>
      </c>
      <c r="G273" s="17">
        <f>(F273-F274)*100</f>
        <v/>
      </c>
      <c r="H273" s="16" t="n">
        <v>4.88</v>
      </c>
      <c r="I273" s="17">
        <f>(H273-H274)*100</f>
        <v/>
      </c>
      <c r="J273" s="17">
        <f>(F273-B273)*100</f>
        <v/>
      </c>
      <c r="K273" s="18">
        <f>(J273-$D$9)/$E$9</f>
        <v/>
      </c>
      <c r="L273" s="17">
        <f>(F273-D273)*100</f>
        <v/>
      </c>
      <c r="M273" s="18">
        <f>(L273-$D$10)/$E$10</f>
        <v/>
      </c>
      <c r="N273" s="17">
        <f>(H273-F273)*100</f>
        <v/>
      </c>
      <c r="O273" s="18">
        <f>(N273-$D$11)/$E$11</f>
        <v/>
      </c>
      <c r="P273" s="17">
        <f>(H273-B273)*100</f>
        <v/>
      </c>
      <c r="Q273" s="18">
        <f>(P273-$D$12)/$E$12</f>
        <v/>
      </c>
      <c r="R273" s="17">
        <f>J273-J274</f>
        <v/>
      </c>
      <c r="S273" s="17">
        <f>L273-L274</f>
        <v/>
      </c>
      <c r="T273" s="17">
        <f>N273-N274</f>
        <v/>
      </c>
      <c r="U273" s="17">
        <f>P273-P274</f>
        <v/>
      </c>
    </row>
    <row r="274">
      <c r="A274" s="15" t="n">
        <v>45896</v>
      </c>
      <c r="B274" s="16" t="n">
        <v>3.59</v>
      </c>
      <c r="D274" s="16" t="n">
        <v>3.59</v>
      </c>
      <c r="F274" s="16" t="n">
        <v>4.24</v>
      </c>
      <c r="H274" s="16" t="n">
        <v>4.91</v>
      </c>
      <c r="J274" s="17">
        <f>(F274-B274)*100</f>
        <v/>
      </c>
      <c r="K274" s="18">
        <f>(J274-$D$9)/$E$9</f>
        <v/>
      </c>
      <c r="L274" s="17">
        <f>(F274-D274)*100</f>
        <v/>
      </c>
      <c r="M274" s="18">
        <f>(L274-$D$10)/$E$10</f>
        <v/>
      </c>
      <c r="N274" s="17">
        <f>(H274-F274)*100</f>
        <v/>
      </c>
      <c r="O274" s="18">
        <f>(N274-$D$11)/$E$11</f>
        <v/>
      </c>
      <c r="P274" s="17">
        <f>(H274-B274)*100</f>
        <v/>
      </c>
      <c r="Q274" s="18">
        <f>(P274-$D$12)/$E$12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20" customWidth="1" min="5" max="5"/>
    <col width="95" customWidth="1" min="6" max="6"/>
  </cols>
  <sheetData>
    <row r="1">
      <c r="A1" s="1" t="inlineStr">
        <is>
          <t>US Macro Dashboard — Jun / Jul / Aug 2026 (by data month)</t>
        </is>
      </c>
    </row>
    <row r="2">
      <c r="A2" s="2" t="inlineStr">
        <is>
          <t>Release dates in notes · compiled 2026-08-29 · sources: BLS, BEA, CNBC, Advisor Perspectives, Axios, ISM, U.Michigan, Atlanta Fed</t>
        </is>
      </c>
    </row>
    <row r="4">
      <c r="A4" s="19" t="inlineStr">
        <is>
          <t>INFLATION</t>
        </is>
      </c>
      <c r="B4" s="19" t="inlineStr"/>
      <c r="C4" s="19" t="inlineStr"/>
      <c r="D4" s="19" t="inlineStr"/>
      <c r="E4" s="19" t="inlineStr"/>
      <c r="F4" s="19" t="inlineStr"/>
    </row>
    <row r="5">
      <c r="A5" s="6" t="inlineStr">
        <is>
          <t>Indicator</t>
        </is>
      </c>
      <c r="B5" s="6" t="inlineStr">
        <is>
          <t>Metric</t>
        </is>
      </c>
      <c r="C5" s="6" t="inlineStr">
        <is>
          <t>Jun 2026</t>
        </is>
      </c>
      <c r="D5" s="6" t="inlineStr">
        <is>
          <t>Jul 2026</t>
        </is>
      </c>
      <c r="E5" s="6" t="inlineStr">
        <is>
          <t>Aug 2026</t>
        </is>
      </c>
      <c r="F5" s="6" t="inlineStr">
        <is>
          <t>Notes</t>
        </is>
      </c>
    </row>
    <row r="6">
      <c r="A6" s="7" t="inlineStr">
        <is>
          <t>CPI headline</t>
        </is>
      </c>
      <c r="B6" s="12" t="inlineStr">
        <is>
          <t>m/m</t>
        </is>
      </c>
      <c r="C6" s="20" t="inlineStr">
        <is>
          <t>-0.4%</t>
        </is>
      </c>
      <c r="D6" s="20" t="inlineStr">
        <is>
          <t>+0.1%</t>
        </is>
      </c>
      <c r="E6" s="20" t="inlineStr">
        <is>
          <t>due ~Sep 10</t>
        </is>
      </c>
      <c r="F6" s="21" t="inlineStr">
        <is>
          <t>Jun: largest monthly drop since Apr 2020; beat 3.8% y/y consensus. Released Jul 14 / Aug 12.</t>
        </is>
      </c>
    </row>
    <row r="7">
      <c r="A7" s="12" t="inlineStr"/>
      <c r="B7" s="12" t="inlineStr">
        <is>
          <t>y/y</t>
        </is>
      </c>
      <c r="C7" s="20" t="inlineStr">
        <is>
          <t>3.5%</t>
        </is>
      </c>
      <c r="D7" s="20" t="inlineStr">
        <is>
          <t>3.4%</t>
        </is>
      </c>
      <c r="E7" s="20" t="inlineStr">
        <is>
          <t>—</t>
        </is>
      </c>
      <c r="F7" s="21" t="inlineStr">
        <is>
          <t>Peaked at 4.2% in May (Iran war / oil shock); easing but stuck in the 3s.</t>
        </is>
      </c>
    </row>
    <row r="8">
      <c r="A8" s="7" t="inlineStr">
        <is>
          <t>Core CPI</t>
        </is>
      </c>
      <c r="B8" s="12" t="inlineStr">
        <is>
          <t>m/m</t>
        </is>
      </c>
      <c r="C8" s="20" t="inlineStr">
        <is>
          <t>0.0%</t>
        </is>
      </c>
      <c r="D8" s="20" t="inlineStr">
        <is>
          <t>+0.2%</t>
        </is>
      </c>
      <c r="E8" s="20" t="inlineStr">
        <is>
          <t>due ~Sep 10</t>
        </is>
      </c>
      <c r="F8" s="21" t="inlineStr">
        <is>
          <t>Core is well-behaved — the problem is energy.</t>
        </is>
      </c>
    </row>
    <row r="9">
      <c r="A9" s="12" t="inlineStr"/>
      <c r="B9" s="12" t="inlineStr">
        <is>
          <t>y/y</t>
        </is>
      </c>
      <c r="C9" s="20" t="inlineStr">
        <is>
          <t>2.6%</t>
        </is>
      </c>
      <c r="D9" s="20" t="inlineStr">
        <is>
          <t>2.5%</t>
        </is>
      </c>
      <c r="E9" s="20" t="inlineStr">
        <is>
          <t>—</t>
        </is>
      </c>
      <c r="F9" s="21" t="inlineStr"/>
    </row>
    <row r="10">
      <c r="A10" s="7" t="inlineStr">
        <is>
          <t>PCE headline</t>
        </is>
      </c>
      <c r="B10" s="12" t="inlineStr">
        <is>
          <t>m/m</t>
        </is>
      </c>
      <c r="C10" s="20" t="inlineStr">
        <is>
          <t>-0.1%</t>
        </is>
      </c>
      <c r="D10" s="20" t="inlineStr">
        <is>
          <t>+0.2%</t>
        </is>
      </c>
      <c r="E10" s="20" t="inlineStr">
        <is>
          <t>due late Sep</t>
        </is>
      </c>
      <c r="F10" s="21" t="inlineStr">
        <is>
          <t>Jul beat +0.1% consensus. Released Jul 31 / Aug 26.</t>
        </is>
      </c>
    </row>
    <row r="11">
      <c r="A11" s="12" t="inlineStr"/>
      <c r="B11" s="12" t="inlineStr">
        <is>
          <t>y/y</t>
        </is>
      </c>
      <c r="C11" s="20" t="inlineStr">
        <is>
          <t>3.7%</t>
        </is>
      </c>
      <c r="D11" s="20" t="inlineStr">
        <is>
          <t>3.7%</t>
        </is>
      </c>
      <c r="E11" s="20" t="inlineStr">
        <is>
          <t>—</t>
        </is>
      </c>
      <c r="F11" s="21" t="inlineStr">
        <is>
          <t>Eased from 4.1% in May, then stalled — disinflation paused.</t>
        </is>
      </c>
    </row>
    <row r="12">
      <c r="A12" s="7" t="inlineStr">
        <is>
          <t>Core PCE</t>
        </is>
      </c>
      <c r="B12" s="12" t="inlineStr">
        <is>
          <t>m/m</t>
        </is>
      </c>
      <c r="C12" s="20" t="inlineStr">
        <is>
          <t>+0.1%</t>
        </is>
      </c>
      <c r="D12" s="20" t="inlineStr">
        <is>
          <t>+0.2%</t>
        </is>
      </c>
      <c r="E12" s="20" t="inlineStr">
        <is>
          <t>due late Sep</t>
        </is>
      </c>
      <c r="F12" s="21" t="inlineStr"/>
    </row>
    <row r="13">
      <c r="A13" s="12" t="inlineStr"/>
      <c r="B13" s="12" t="inlineStr">
        <is>
          <t>y/y</t>
        </is>
      </c>
      <c r="C13" s="20" t="inlineStr">
        <is>
          <t>3.3%</t>
        </is>
      </c>
      <c r="D13" s="20" t="inlineStr">
        <is>
          <t>3.3%</t>
        </is>
      </c>
      <c r="E13" s="20" t="inlineStr">
        <is>
          <t>—</t>
        </is>
      </c>
      <c r="F13" s="21" t="inlineStr">
        <is>
          <t>Above 3.2% consensus; 1.3pp over the 2% target and going sideways — the hawks' key exhibit.</t>
        </is>
      </c>
    </row>
    <row r="14">
      <c r="A14" s="7" t="inlineStr">
        <is>
          <t>PPI headline</t>
        </is>
      </c>
      <c r="B14" s="12" t="inlineStr">
        <is>
          <t>m/m</t>
        </is>
      </c>
      <c r="C14" s="20" t="inlineStr">
        <is>
          <t>+0.2%</t>
        </is>
      </c>
      <c r="D14" s="20" t="inlineStr">
        <is>
          <t>0.0%</t>
        </is>
      </c>
      <c r="E14" s="20" t="inlineStr">
        <is>
          <t>due ~Sep 10</t>
        </is>
      </c>
      <c r="F14" s="21" t="inlineStr">
        <is>
          <t>Jul flat vs +0.2% expected. Released Jul 15 / Aug 13.</t>
        </is>
      </c>
    </row>
    <row r="15">
      <c r="A15" s="12" t="inlineStr"/>
      <c r="B15" s="12" t="inlineStr">
        <is>
          <t>y/y</t>
        </is>
      </c>
      <c r="C15" s="20" t="inlineStr">
        <is>
          <t>5.5%</t>
        </is>
      </c>
      <c r="D15" s="20" t="inlineStr">
        <is>
          <t>4.7%</t>
        </is>
      </c>
      <c r="E15" s="20" t="inlineStr">
        <is>
          <t>—</t>
        </is>
      </c>
      <c r="F15" s="21" t="inlineStr">
        <is>
          <t>Down from 6.0% in May — pipeline pressure cooling fast.</t>
        </is>
      </c>
    </row>
    <row r="16">
      <c r="A16" s="7" t="inlineStr">
        <is>
          <t>Core PPI</t>
        </is>
      </c>
      <c r="B16" s="12" t="inlineStr">
        <is>
          <t>m/m</t>
        </is>
      </c>
      <c r="C16" s="20" t="inlineStr">
        <is>
          <t>+0.4%</t>
        </is>
      </c>
      <c r="D16" s="20" t="inlineStr">
        <is>
          <t>+0.2%</t>
        </is>
      </c>
      <c r="E16" s="20" t="inlineStr">
        <is>
          <t>due ~Sep 10</t>
        </is>
      </c>
      <c r="F16" s="21" t="inlineStr">
        <is>
          <t>Jul below 0.3% consensus.</t>
        </is>
      </c>
    </row>
    <row r="17">
      <c r="A17" s="12" t="inlineStr"/>
      <c r="B17" s="12" t="inlineStr">
        <is>
          <t>y/y</t>
        </is>
      </c>
      <c r="C17" s="20" t="inlineStr">
        <is>
          <t>3.1%</t>
        </is>
      </c>
      <c r="D17" s="20" t="inlineStr">
        <is>
          <t>n/a*</t>
        </is>
      </c>
      <c r="E17" s="20" t="inlineStr">
        <is>
          <t>—</t>
        </is>
      </c>
      <c r="F17" s="21" t="inlineStr">
        <is>
          <t>*Jul y/y conflicting across sources (a reported 4.2% looks like the ex-food/energy/trade series) — verify on terminal.</t>
        </is>
      </c>
    </row>
    <row r="19">
      <c r="A19" s="19" t="inlineStr">
        <is>
          <t>LABOR</t>
        </is>
      </c>
      <c r="B19" s="19" t="inlineStr"/>
      <c r="C19" s="19" t="inlineStr"/>
      <c r="D19" s="19" t="inlineStr"/>
      <c r="E19" s="19" t="inlineStr"/>
      <c r="F19" s="19" t="inlineStr"/>
    </row>
    <row r="20">
      <c r="A20" s="6" t="inlineStr">
        <is>
          <t>Indicator</t>
        </is>
      </c>
      <c r="B20" s="6" t="inlineStr">
        <is>
          <t>Metric</t>
        </is>
      </c>
      <c r="C20" s="6" t="inlineStr">
        <is>
          <t>Jun 2026</t>
        </is>
      </c>
      <c r="D20" s="6" t="inlineStr">
        <is>
          <t>Jul 2026</t>
        </is>
      </c>
      <c r="E20" s="6" t="inlineStr">
        <is>
          <t>Aug 2026</t>
        </is>
      </c>
      <c r="F20" s="6" t="inlineStr">
        <is>
          <t>Notes</t>
        </is>
      </c>
    </row>
    <row r="21">
      <c r="A21" s="7" t="inlineStr">
        <is>
          <t>Nonfarm payrolls</t>
        </is>
      </c>
      <c r="B21" s="12" t="inlineStr">
        <is>
          <t>k, m/m</t>
        </is>
      </c>
      <c r="C21" s="20" t="inlineStr">
        <is>
          <t>+57k -&gt; revised +20k</t>
        </is>
      </c>
      <c r="D21" s="20" t="inlineStr">
        <is>
          <t>-23k (exp +80k)</t>
        </is>
      </c>
      <c r="E21" s="20" t="inlineStr">
        <is>
          <t>due Sep 4</t>
        </is>
      </c>
      <c r="F21" s="21" t="inlineStr">
        <is>
          <t>Jul: first negative print; two-month revisions -103k. Released Jul 2 / Aug 7.</t>
        </is>
      </c>
    </row>
    <row r="22">
      <c r="A22" s="7" t="inlineStr">
        <is>
          <t>Unemployment rate</t>
        </is>
      </c>
      <c r="B22" s="12" t="inlineStr">
        <is>
          <t>%</t>
        </is>
      </c>
      <c r="C22" s="20" t="inlineStr">
        <is>
          <t>4.2%</t>
        </is>
      </c>
      <c r="D22" s="20" t="inlineStr">
        <is>
          <t>4.1%</t>
        </is>
      </c>
      <c r="E22" s="20" t="inlineStr">
        <is>
          <t>due Sep 4</t>
        </is>
      </c>
      <c r="F22" s="21" t="inlineStr">
        <is>
          <t>Fell for the wrong reason: participation 61.4%, a 5-year low (labor supply shrinking).</t>
        </is>
      </c>
    </row>
    <row r="23">
      <c r="A23" s="7" t="inlineStr">
        <is>
          <t>Avg hourly earnings</t>
        </is>
      </c>
      <c r="B23" s="12" t="inlineStr">
        <is>
          <t>y/y</t>
        </is>
      </c>
      <c r="C23" s="20" t="inlineStr">
        <is>
          <t>—</t>
        </is>
      </c>
      <c r="D23" s="20" t="inlineStr">
        <is>
          <t>+3.2%</t>
        </is>
      </c>
      <c r="E23" s="20" t="inlineStr">
        <is>
          <t>due Sep 4</t>
        </is>
      </c>
      <c r="F23" s="21" t="inlineStr">
        <is>
          <t>Slowest since May 2021 — wage-push pressure fading.</t>
        </is>
      </c>
    </row>
    <row r="24">
      <c r="A24" s="7" t="inlineStr">
        <is>
          <t>ADP private payrolls</t>
        </is>
      </c>
      <c r="B24" s="12" t="inlineStr">
        <is>
          <t>k, m/m</t>
        </is>
      </c>
      <c r="C24" s="20" t="inlineStr">
        <is>
          <t>+95k (rev.)</t>
        </is>
      </c>
      <c r="D24" s="20" t="inlineStr">
        <is>
          <t>+44k (exp +70k)</t>
        </is>
      </c>
      <c r="E24" s="20" t="inlineStr">
        <is>
          <t>due Sep 2</t>
        </is>
      </c>
      <c r="F24" s="21" t="inlineStr">
        <is>
          <t>Hiring slowdown confirmed.</t>
        </is>
      </c>
    </row>
    <row r="25">
      <c r="A25" s="7" t="inlineStr">
        <is>
          <t>Initial jobless claims</t>
        </is>
      </c>
      <c r="B25" s="12" t="inlineStr">
        <is>
          <t>weekly</t>
        </is>
      </c>
      <c r="C25" s="20" t="inlineStr">
        <is>
          <t>~190k</t>
        </is>
      </c>
      <c r="D25" s="20" t="inlineStr">
        <is>
          <t>low-200k</t>
        </is>
      </c>
      <c r="E25" s="20" t="inlineStr">
        <is>
          <t>203k (wk Aug 22)</t>
        </is>
      </c>
      <c r="F25" s="21" t="inlineStr">
        <is>
          <t>Near 60-year lows — no layoffs; a hiring freeze, not a firing cycle.</t>
        </is>
      </c>
    </row>
    <row r="27">
      <c r="A27" s="19" t="inlineStr">
        <is>
          <t>ACTIVITY &amp; EXPECTATIONS</t>
        </is>
      </c>
      <c r="B27" s="19" t="inlineStr"/>
      <c r="C27" s="19" t="inlineStr"/>
      <c r="D27" s="19" t="inlineStr"/>
      <c r="E27" s="19" t="inlineStr"/>
      <c r="F27" s="19" t="inlineStr"/>
    </row>
    <row r="28">
      <c r="A28" s="6" t="inlineStr">
        <is>
          <t>Indicator</t>
        </is>
      </c>
      <c r="B28" s="6" t="inlineStr">
        <is>
          <t>Metric</t>
        </is>
      </c>
      <c r="C28" s="6" t="inlineStr">
        <is>
          <t>Jun 2026</t>
        </is>
      </c>
      <c r="D28" s="6" t="inlineStr">
        <is>
          <t>Jul 2026</t>
        </is>
      </c>
      <c r="E28" s="6" t="inlineStr">
        <is>
          <t>Aug 2026</t>
        </is>
      </c>
      <c r="F28" s="6" t="inlineStr">
        <is>
          <t>Notes</t>
        </is>
      </c>
    </row>
    <row r="29">
      <c r="A29" s="7" t="inlineStr">
        <is>
          <t>Retail sales</t>
        </is>
      </c>
      <c r="B29" s="12" t="inlineStr">
        <is>
          <t>m/m</t>
        </is>
      </c>
      <c r="C29" s="20" t="inlineStr">
        <is>
          <t>+0.2% (+6.7% y/y)</t>
        </is>
      </c>
      <c r="D29" s="20" t="inlineStr">
        <is>
          <t>-0.6% (+5.0% y/y)</t>
        </is>
      </c>
      <c r="E29" s="20" t="inlineStr">
        <is>
          <t>due mid-Sep</t>
        </is>
      </c>
      <c r="F29" s="21" t="inlineStr">
        <is>
          <t>Jul: biggest drop in over a year — consumer breather.</t>
        </is>
      </c>
    </row>
    <row r="30">
      <c r="A30" s="7" t="inlineStr">
        <is>
          <t>ISM Manufacturing</t>
        </is>
      </c>
      <c r="B30" s="12" t="inlineStr">
        <is>
          <t>index</t>
        </is>
      </c>
      <c r="C30" s="20" t="inlineStr">
        <is>
          <t>53.3</t>
        </is>
      </c>
      <c r="D30" s="20" t="inlineStr">
        <is>
          <t>55.6</t>
        </is>
      </c>
      <c r="E30" s="20" t="inlineStr">
        <is>
          <t>due Sep 1</t>
        </is>
      </c>
      <c r="F30" s="21" t="inlineStr">
        <is>
          <t>Jul highest since May 2022; Aug S&amp;P flash mfg 53.2.</t>
        </is>
      </c>
    </row>
    <row r="31">
      <c r="A31" s="7" t="inlineStr">
        <is>
          <t>ISM Services</t>
        </is>
      </c>
      <c r="B31" s="12" t="inlineStr">
        <is>
          <t>index</t>
        </is>
      </c>
      <c r="C31" s="20" t="inlineStr">
        <is>
          <t>54.0</t>
        </is>
      </c>
      <c r="D31" s="20" t="inlineStr">
        <is>
          <t>54.1</t>
        </is>
      </c>
      <c r="E31" s="20" t="inlineStr">
        <is>
          <t>due Sep 3</t>
        </is>
      </c>
      <c r="F31" s="21" t="inlineStr">
        <is>
          <t>Aug S&amp;P flash services 56.8, composite 56.0 (best since Apr 2022).</t>
        </is>
      </c>
    </row>
    <row r="32">
      <c r="A32" s="7" t="inlineStr">
        <is>
          <t>Real GDP</t>
        </is>
      </c>
      <c r="B32" s="12" t="inlineStr">
        <is>
          <t>saar</t>
        </is>
      </c>
      <c r="C32" s="20" t="inlineStr">
        <is>
          <t>Q2 +1.5%</t>
        </is>
      </c>
      <c r="D32" s="20" t="inlineStr">
        <is>
          <t>—</t>
        </is>
      </c>
      <c r="E32" s="20" t="inlineStr">
        <is>
          <t>GDPNow Q3: 4.6%</t>
        </is>
      </c>
      <c r="F32" s="21" t="inlineStr">
        <is>
          <t>Q2 second estimate unchanged; consumption revised up to +3.4%. GDPNow as of Aug 26.</t>
        </is>
      </c>
    </row>
    <row r="33">
      <c r="A33" s="7" t="inlineStr">
        <is>
          <t>U.Mich inflation exp.</t>
        </is>
      </c>
      <c r="B33" s="12" t="inlineStr">
        <is>
          <t>1y / 5-10y</t>
        </is>
      </c>
      <c r="C33" s="20" t="inlineStr">
        <is>
          <t>4.6% / 3.3%</t>
        </is>
      </c>
      <c r="D33" s="20" t="inlineStr">
        <is>
          <t>4.2% / 3.3%</t>
        </is>
      </c>
      <c r="E33" s="20" t="inlineStr">
        <is>
          <t>4.3% / 3.3% (prelim)</t>
        </is>
      </c>
      <c r="F33" s="21" t="inlineStr">
        <is>
          <t>Long-run expectations anchored at 3.3%; Aug sentiment 51.0.</t>
        </is>
      </c>
    </row>
    <row r="35">
      <c r="A35" s="19" t="inlineStr">
        <is>
          <t>TAKEAWAY</t>
        </is>
      </c>
    </row>
    <row r="36">
      <c r="A36" s="22" t="inlineStr">
        <is>
          <t>Inflation: headline stuck in the 3s, core PCE flat at 3.3% — no progress toward 2% since June.</t>
        </is>
      </c>
    </row>
    <row r="37">
      <c r="A37" s="22" t="inlineStr">
        <is>
          <t>Labor: cooling sharply, but via shrinking supply (participation), not layoffs — claims near 60-yr lows.</t>
        </is>
      </c>
    </row>
    <row r="38">
      <c r="A38" s="22" t="inlineStr">
        <is>
          <t>Activity: re-accelerating (GDPNow 4.6%, flash PMI 56.0, record-adjacent equities).</t>
        </is>
      </c>
    </row>
    <row r="39">
      <c r="A39" s="22" t="inlineStr">
        <is>
          <t>Net: the Fed cannot cut (Sep 16 hike odds ~58% post-Jackson Hole); growth supports real yields; inflation uncertainty feeds the term premium.</t>
        </is>
      </c>
    </row>
    <row r="40">
      <c r="A40" s="22" t="inlineStr">
        <is>
          <t>Event calendar: Sep 2 ADP · Sep 4 NFP · Sep 9 Treasury buybacks start · ~Sep 10 CPI/PPI · Sep 16 FOMC.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52" customWidth="1" min="4" max="4"/>
    <col width="100" customWidth="1" min="5" max="5"/>
  </cols>
  <sheetData>
    <row r="1">
      <c r="A1" s="1" t="inlineStr">
        <is>
          <t>Spread Trade Verdict — data through 2026-08-27 (compiled 2026-08-29)</t>
        </is>
      </c>
    </row>
    <row r="3">
      <c r="A3" s="23" t="inlineStr">
        <is>
          <t>Spread</t>
        </is>
      </c>
      <c r="B3" s="6" t="inlineStr">
        <is>
          <t>Current(bp)</t>
        </is>
      </c>
      <c r="C3" s="6" t="inlineStr">
        <is>
          <t>Z</t>
        </is>
      </c>
      <c r="D3" s="6" t="inlineStr">
        <is>
          <t>Pctile</t>
        </is>
      </c>
      <c r="E3" s="6" t="inlineStr">
        <is>
          <t>Verdict</t>
        </is>
      </c>
    </row>
    <row r="4">
      <c r="A4" s="7" t="inlineStr">
        <is>
          <t>3s10s</t>
        </is>
      </c>
      <c r="B4" s="24">
        <f>'Spread Monitor'!C10</f>
        <v/>
      </c>
      <c r="C4" s="25">
        <f>'Spread Monitor'!F10</f>
        <v/>
      </c>
      <c r="D4" s="26">
        <f>'Spread Monitor'!G10</f>
        <v/>
      </c>
      <c r="E4" s="12" t="inlineStr">
        <is>
          <t>Flattest of the past 1Y (12th pctile, z ~ -1.3) -&gt; strongest statistical steepener candidate. Note the 3Y is the most sensitive point to Fed repricing.</t>
        </is>
      </c>
    </row>
    <row r="5">
      <c r="A5" s="7" t="inlineStr">
        <is>
          <t>10s30s</t>
        </is>
      </c>
      <c r="B5" s="24">
        <f>'Spread Monitor'!C11</f>
        <v/>
      </c>
      <c r="C5" s="25">
        <f>'Spread Monitor'!F11</f>
        <v/>
      </c>
      <c r="D5" s="26">
        <f>'Spread Monitor'!G11</f>
        <v/>
      </c>
      <c r="E5" s="12" t="inlineStr">
        <is>
          <t>17th pctile, z ~ -1.0. Fiscal/supply argues steeper, but Treasury long-end buybacks from Sep 9 support the 30Y -&gt; crosswinds.</t>
        </is>
      </c>
    </row>
    <row r="6">
      <c r="A6" s="7" t="inlineStr">
        <is>
          <t>2s30s</t>
        </is>
      </c>
      <c r="B6" s="24">
        <f>'Spread Monitor'!C12</f>
        <v/>
      </c>
      <c r="C6" s="25">
        <f>'Spread Monitor'!F12</f>
        <v/>
      </c>
      <c r="D6" s="26">
        <f>'Spread Monitor'!G12</f>
        <v/>
      </c>
      <c r="E6" s="12" t="inlineStr">
        <is>
          <t>20th pctile, z ~ -0.8. Same direction, but highest vol (3.6bp/d) -&gt; size accordingly.</t>
        </is>
      </c>
    </row>
    <row r="7">
      <c r="A7" s="7" t="inlineStr">
        <is>
          <t>2s10s</t>
        </is>
      </c>
      <c r="B7" s="24">
        <f>'Spread Monitor'!C9</f>
        <v/>
      </c>
      <c r="C7" s="25">
        <f>'Spread Monitor'!F9</f>
        <v/>
      </c>
      <c r="D7" s="26">
        <f>'Spread Monitor'!G9</f>
        <v/>
      </c>
      <c r="E7" s="12" t="inlineStr">
        <is>
          <t>22nd pctile, z ~ -0.6 -&gt; neutral-to-mild steepener. Signal not strong enough on its own.</t>
        </is>
      </c>
    </row>
    <row r="9">
      <c r="A9" s="3" t="inlineStr">
        <is>
          <t>Overall verdict</t>
        </is>
      </c>
    </row>
    <row r="10">
      <c r="A10" s="22" t="inlineStr">
        <is>
          <t>- All four spreads sit in the lower 12-22% of their 1Y range (flat side) — mean-reversion favors STEEPENERS, but |z| &lt; 1.5, so "decent, not yet cheap".</t>
        </is>
      </c>
    </row>
    <row r="11">
      <c r="A11" s="22" t="inlineStr">
        <is>
          <t>- The flattening has a clear cause: Warsh's hawkish Jackson Hole speech (Aug 28) pushed the 2Y to 4.34% and Sept hike odds from 35% to ~58% (CME). If a hike lands, bear-flattening can extend.</t>
        </is>
      </c>
    </row>
    <row r="12">
      <c r="A12" s="22" t="inlineStr">
        <is>
          <t>- Note: Aug 28 closes (not yet in FRED data): 2Y 4.34 / 10Y 4.73 / 30Y 5.17 -&gt; 2s10s ~39bp (z ~ -1.4), 10s30s ~44bp (z ~ -2.3, 1Y low) — better entry levels, bigger catalyst risk.</t>
        </is>
      </c>
    </row>
    <row r="13">
      <c r="A13" s="22" t="inlineStr">
        <is>
          <t>- Execution: (1) scale in half before / half after the Sep 16 FOMC  (2) be conservative on 10s30s steepeners until buybacks end (Sep 9 - Nov 4, &gt;= $4bn per op)  (3) stop-loss: z breaks below -2.5 or a genuine hiking cycle starts.</t>
        </is>
      </c>
    </row>
    <row r="15">
      <c r="A15" s="3" t="inlineStr">
        <is>
          <t>Catalyst calendar</t>
        </is>
      </c>
    </row>
    <row r="16">
      <c r="A16" s="22" t="inlineStr">
        <is>
          <t>Sep 2-4 labor data · Sep 9 buybacks start · ~Sep 10 CPI · Sep 16 FOMC (hike odds ~58%) · October refunding · Iran/oil, fiscal deficit (Jul $432bn), $739bn Q3 borrowing</t>
        </is>
      </c>
    </row>
    <row r="18">
      <c r="A18" s="3" t="inlineStr">
        <is>
          <t>DV01-neutral hedge ratios (approximate — use terminal DV01 for execution)</t>
        </is>
      </c>
    </row>
    <row r="19">
      <c r="A19" s="23" t="inlineStr">
        <is>
          <t>Tenor</t>
        </is>
      </c>
      <c r="B19" s="23" t="inlineStr">
        <is>
          <t>Approx duration</t>
        </is>
      </c>
      <c r="C19" s="23" t="inlineStr">
        <is>
          <t>DV01 / 100mm</t>
        </is>
      </c>
      <c r="D19" s="23" t="inlineStr">
        <is>
          <t>Steepener example vs 100mm 10Y short</t>
        </is>
      </c>
    </row>
    <row r="20">
      <c r="A20" s="7" t="inlineStr">
        <is>
          <t>2Y</t>
        </is>
      </c>
      <c r="B20" s="27" t="n">
        <v>1.9</v>
      </c>
      <c r="C20" s="28">
        <f>B20/100*10000</f>
        <v/>
      </c>
      <c r="D20" s="12" t="inlineStr">
        <is>
          <t>2s10s: buy ~ 100mm x C22/C20 ~ 416mm of 2Y</t>
        </is>
      </c>
    </row>
    <row r="21">
      <c r="A21" s="7" t="inlineStr">
        <is>
          <t>3Y</t>
        </is>
      </c>
      <c r="B21" s="27" t="n">
        <v>2.8</v>
      </c>
      <c r="C21" s="28">
        <f>B21/100*10000</f>
        <v/>
      </c>
      <c r="D21" s="12" t="inlineStr">
        <is>
          <t>3s10s: buy ~ 100mm x C22/C21 ~ 282mm of 3Y</t>
        </is>
      </c>
    </row>
    <row r="22">
      <c r="A22" s="7" t="inlineStr">
        <is>
          <t>10Y</t>
        </is>
      </c>
      <c r="B22" s="27" t="n">
        <v>7.9</v>
      </c>
      <c r="C22" s="28">
        <f>B22/100*10000</f>
        <v/>
      </c>
      <c r="D22" s="12" t="inlineStr">
        <is>
          <t>10s30s: per 100mm 30Y short, buy ~ C23/C22 ~ 2.0x notional of 10Y</t>
        </is>
      </c>
    </row>
    <row r="23">
      <c r="A23" s="7" t="inlineStr">
        <is>
          <t>30Y</t>
        </is>
      </c>
      <c r="B23" s="27" t="n">
        <v>16</v>
      </c>
      <c r="C23" s="28">
        <f>B23/100*10000</f>
        <v/>
      </c>
      <c r="D23" s="29" t="inlineStr">
        <is>
          <t>(Approximations — vary with price/yield level)</t>
        </is>
      </c>
    </row>
    <row r="24">
      <c r="A24" s="22">
        <f>BDH("USGG2YR Index","PX_LAST","8/27/2025","","Dir=V","Dts=S","Sort=D")   &lt;- Date + PX_LAST, vertical, newest first</f>
        <v/>
      </c>
    </row>
    <row r="25">
      <c r="A25" s="22" t="inlineStr">
        <is>
          <t>Tickers: USGG2YR / USGG3YR / USGG10YR / USGG30YR Index (generic yields) or GT2 / GT3 / GT10 / GT30 Govt. The US equivalent of KTB's GTKRW#YR Corp series is GT# Govt.</t>
        </is>
      </c>
    </row>
    <row r="26">
      <c r="A26" s="22" t="inlineStr">
        <is>
          <t>Paste values into the blue columns (B/D/F/H) of the Spread Monitor sheet — spreads, Z-scores and percentiles all recalculate automatically.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Spread history (bp, 1Y)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2026-08-30T00:45:29Z</dcterms:created>
  <dcterms:modified xsi:type="dcterms:W3CDTF">2026-08-30T00:45:29Z</dcterms:modified>
</cp:coreProperties>
</file>