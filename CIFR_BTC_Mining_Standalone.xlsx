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0" yWindow="660" windowWidth="20100" windowHeight="16820" tabRatio="600" firstSheet="0" activeTab="0" autoFilterDateGrouping="1"/>
  </bookViews>
  <sheets>
    <sheet name="BTC Mining (Standalone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\$#,##0;[Red]\(\$#,##0\);\-"/>
    <numFmt numFmtId="165" formatCode="0.0%;[Red]\(0.0%\);\-"/>
    <numFmt numFmtId="166" formatCode="#,##0.0"/>
    <numFmt numFmtId="167" formatCode="0.000"/>
    <numFmt numFmtId="168" formatCode="0.0"/>
    <numFmt numFmtId="169" formatCode="0.0\x"/>
  </numFmts>
  <fonts count="17">
    <font>
      <name val="Carlito"/>
      <sz val="11"/>
    </font>
    <font>
      <name val="Aptos"/>
      <b val="1"/>
      <color rgb="FFFFFFFF"/>
      <sz val="10"/>
    </font>
    <font>
      <name val="Aptos"/>
      <i val="1"/>
      <color rgb="FF334155"/>
      <sz val="10"/>
    </font>
    <font>
      <name val="Aptos"/>
      <sz val="10"/>
    </font>
    <font>
      <name val="Aptos"/>
      <color rgb="FF0000FF"/>
      <sz val="10"/>
    </font>
    <font>
      <name val="Aptos"/>
      <b val="1"/>
      <sz val="10"/>
    </font>
    <font>
      <name val="Aptos"/>
      <b val="1"/>
      <i val="1"/>
      <sz val="10"/>
    </font>
    <font>
      <name val="Aptos"/>
      <b val="1"/>
      <sz val="13"/>
    </font>
    <font>
      <name val="Aptos"/>
      <color rgb="FFFF0000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rlito"/>
      <color rgb="FF000000"/>
      <sz val="10"/>
    </font>
    <font>
      <name val="Calibri"/>
      <b val="1"/>
      <color rgb="001F3864"/>
      <sz val="12"/>
    </font>
    <font>
      <name val="Calibri"/>
      <i val="1"/>
      <color rgb="00595959"/>
      <sz val="9"/>
    </font>
    <font>
      <name val="Calibri"/>
      <b val="1"/>
      <color rgb="00C00000"/>
      <sz val="10"/>
    </font>
    <font>
      <name val="Calibri"/>
      <b val="1"/>
      <sz val="9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" fontId="3" fillId="0" borderId="0" pivotButton="0" quotePrefix="0" xfId="0"/>
    <xf numFmtId="167" fontId="3" fillId="0" borderId="0" pivotButton="0" quotePrefix="0" xfId="0"/>
    <xf numFmtId="0" fontId="1" fillId="2" borderId="0" pivotButton="0" quotePrefix="0" xfId="0"/>
    <xf numFmtId="0" fontId="5" fillId="3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3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8" fontId="4" fillId="4" borderId="0" applyAlignment="1" pivotButton="0" quotePrefix="0" xfId="0">
      <alignment horizontal="right"/>
    </xf>
    <xf numFmtId="169" fontId="4" fillId="4" borderId="0" applyAlignment="1" pivotButton="0" quotePrefix="0" xfId="0">
      <alignment horizontal="right"/>
    </xf>
    <xf numFmtId="1" fontId="4" fillId="4" borderId="0" applyAlignment="1" pivotButton="0" quotePrefix="0" xfId="0">
      <alignment horizontal="right"/>
    </xf>
    <xf numFmtId="164" fontId="5" fillId="0" borderId="0" pivotButton="0" quotePrefix="0" xfId="0"/>
    <xf numFmtId="164" fontId="5" fillId="5" borderId="1" pivotButton="0" quotePrefix="0" xfId="0"/>
    <xf numFmtId="0" fontId="6" fillId="6" borderId="0" pivotButton="0" quotePrefix="0" xfId="0"/>
    <xf numFmtId="164" fontId="8" fillId="4" borderId="0" applyAlignment="1" pivotButton="0" quotePrefix="0" xfId="0">
      <alignment horizontal="right"/>
    </xf>
    <xf numFmtId="165" fontId="4" fillId="7" borderId="0" applyAlignment="1" pivotButton="0" quotePrefix="0" xfId="0">
      <alignment horizontal="right"/>
    </xf>
    <xf numFmtId="0" fontId="12" fillId="0" borderId="0" pivotButton="0" quotePrefix="0" xfId="0"/>
    <xf numFmtId="0" fontId="13" fillId="2" borderId="0" pivotButton="0" quotePrefix="0" xfId="0"/>
    <xf numFmtId="3" fontId="4" fillId="8" borderId="0" applyAlignment="1" pivotButton="0" quotePrefix="0" xfId="0">
      <alignment horizontal="right"/>
    </xf>
    <xf numFmtId="3" fontId="4" fillId="9" borderId="0" applyAlignment="1" pivotButton="0" quotePrefix="0" xfId="0">
      <alignment horizontal="right"/>
    </xf>
    <xf numFmtId="3" fontId="4" fillId="10" borderId="0" applyAlignment="1" pivotButton="0" quotePrefix="0" xfId="0">
      <alignment horizontal="right"/>
    </xf>
    <xf numFmtId="165" fontId="4" fillId="8" borderId="0" applyAlignment="1" pivotButton="0" quotePrefix="0" xfId="0">
      <alignment horizontal="right"/>
    </xf>
    <xf numFmtId="165" fontId="4" fillId="10" borderId="0" applyAlignment="1" pivotButton="0" quotePrefix="0" xfId="0">
      <alignment horizontal="right"/>
    </xf>
    <xf numFmtId="164" fontId="8" fillId="11" borderId="0" applyAlignment="1" pivotButton="0" quotePrefix="0" xfId="0">
      <alignment horizontal="right"/>
    </xf>
    <xf numFmtId="164" fontId="8" fillId="10" borderId="0" applyAlignment="1" pivotButton="0" quotePrefix="0" xfId="0">
      <alignment horizontal="right"/>
    </xf>
    <xf numFmtId="168" fontId="4" fillId="8" borderId="0" applyAlignment="1" pivotButton="0" quotePrefix="0" xfId="0">
      <alignment horizontal="right"/>
    </xf>
    <xf numFmtId="168" fontId="4" fillId="10" borderId="0" applyAlignment="1" pivotButton="0" quotePrefix="0" xfId="0">
      <alignment horizontal="right"/>
    </xf>
    <xf numFmtId="164" fontId="4" fillId="9" borderId="0" applyAlignment="1" pivotButton="0" quotePrefix="0" xfId="0">
      <alignment horizontal="right"/>
    </xf>
    <xf numFmtId="164" fontId="4" fillId="10" borderId="0" applyAlignment="1" pivotButton="0" quotePrefix="0" xfId="0">
      <alignment horizontal="right"/>
    </xf>
    <xf numFmtId="164" fontId="4" fillId="8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6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5" fontId="4" fillId="9" borderId="0" applyAlignment="1" pivotButton="0" quotePrefix="0" xfId="0">
      <alignment horizontal="right"/>
    </xf>
    <xf numFmtId="167" fontId="3" fillId="0" borderId="0" pivotButton="0" quotePrefix="0" xfId="0"/>
    <xf numFmtId="164" fontId="5" fillId="0" borderId="0" pivotButton="0" quotePrefix="0" xfId="0"/>
    <xf numFmtId="169" fontId="4" fillId="9" borderId="0" applyAlignment="1" pivotButton="0" quotePrefix="0" xfId="0">
      <alignment horizontal="right"/>
    </xf>
    <xf numFmtId="0" fontId="14" fillId="2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164" fontId="16" fillId="4" borderId="0" applyAlignment="1" pivotButton="0" quotePrefix="0" xfId="0">
      <alignment wrapText="1"/>
    </xf>
    <xf numFmtId="164" fontId="0" fillId="0" borderId="0" pivotButton="0" quotePrefix="0" xfId="0"/>
    <xf numFmtId="164" fontId="5" fillId="5" borderId="1" pivotButton="0" quotePrefix="0" xfId="0"/>
    <xf numFmtId="164" fontId="4" fillId="4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Sav Song</author>
  </authors>
  <commentList>
    <comment ref="C10" authorId="0" shapeId="0">
      <text>
        <t>Sav Song:
what should we put as BTC price?</t>
      </text>
    </comment>
    <comment ref="C40" authorId="0" shapeId="0">
      <text>
        <t xml:space="preserve">Sav Song:
On terminal value: 
 does a Gordon-growth perpetuity make sense for a BTC miner, or is a finite-life / liquidation framework more appropriate?
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tabSelected="1" topLeftCell="A6" workbookViewId="0">
      <selection activeCell="G31" sqref="G31"/>
    </sheetView>
  </sheetViews>
  <sheetFormatPr baseColWidth="8" defaultColWidth="11" defaultRowHeight="15"/>
  <cols>
    <col width="28" customWidth="1" style="2" min="1" max="1"/>
    <col width="80" customWidth="1" style="2" min="2" max="2"/>
    <col width="13" customWidth="1" style="2" min="3" max="7"/>
    <col width="13" customWidth="1" min="4" max="4"/>
    <col width="13" customWidth="1" min="5" max="5"/>
    <col width="13" customWidth="1" min="6" max="6"/>
    <col width="13" customWidth="1" min="7" max="7"/>
    <col width="75" customWidth="1" style="2" min="8" max="8"/>
  </cols>
  <sheetData>
    <row r="1" ht="18" customHeight="1">
      <c r="A1" s="24" t="inlineStr">
        <is>
          <t>CIFR (Cipher Digital) — BTC Mining Segment Standalone Valuation</t>
        </is>
      </c>
    </row>
    <row r="2">
      <c r="A2" s="12" t="n"/>
    </row>
    <row r="4">
      <c r="A4" s="9" t="inlineStr">
        <is>
          <t>Key Assumptions — BTC Mining Only</t>
        </is>
      </c>
      <c r="B4" s="9" t="n"/>
      <c r="C4" s="9" t="n"/>
      <c r="D4" s="9" t="n"/>
      <c r="E4" s="9" t="n"/>
      <c r="F4" s="9" t="n"/>
      <c r="G4" s="9" t="n"/>
      <c r="H4" s="25" t="inlineStr">
        <is>
          <t>Legend: GREEN = SEC filing / confirmed | YELLOW = user input | ORANGE = estimate | GREY = zero (mining wind-down)</t>
        </is>
      </c>
    </row>
    <row r="5">
      <c r="A5" s="10" t="inlineStr">
        <is>
          <t>Driver</t>
        </is>
      </c>
      <c r="B5" s="10" t="inlineStr">
        <is>
          <t>Unit</t>
        </is>
      </c>
      <c r="C5" s="10" t="inlineStr">
        <is>
          <t>FY2026E</t>
        </is>
      </c>
      <c r="D5" s="10" t="inlineStr">
        <is>
          <t>FY2027E</t>
        </is>
      </c>
      <c r="E5" s="10" t="inlineStr">
        <is>
          <t>FY2028E</t>
        </is>
      </c>
      <c r="F5" s="10" t="inlineStr">
        <is>
          <t>FY2029E</t>
        </is>
      </c>
      <c r="G5" s="10" t="inlineStr">
        <is>
          <t>FY2030E</t>
        </is>
      </c>
      <c r="H5" s="10" t="inlineStr">
        <is>
          <t>Notes</t>
        </is>
      </c>
    </row>
    <row r="6">
      <c r="A6" s="2" t="inlineStr">
        <is>
          <t>Installed hashrate</t>
        </is>
      </c>
      <c r="B6" s="2" t="inlineStr">
        <is>
          <t>EH/s</t>
        </is>
      </c>
      <c r="C6" s="26" t="n">
        <v>11.6</v>
      </c>
      <c r="D6" s="27" t="n">
        <v>5.8</v>
      </c>
      <c r="E6" s="28" t="n">
        <v>0</v>
      </c>
      <c r="F6" s="28" t="n">
        <v>0</v>
      </c>
      <c r="G6" s="28" t="n">
        <v>0</v>
      </c>
      <c r="H6" s="2" t="inlineStr">
        <is>
          <t>2026: Q1 2026 10-Q (11.6 EH/s). 2027: ~6-month avg (PPA expires Jul 2027). 2028+: $0 — mining wound down.</t>
        </is>
      </c>
    </row>
    <row r="7">
      <c r="A7" s="2" t="inlineStr">
        <is>
          <t>Avg operating factor</t>
        </is>
      </c>
      <c r="B7" s="2" t="inlineStr">
        <is>
          <t>%</t>
        </is>
      </c>
      <c r="C7" s="29" t="n">
        <v>0.9</v>
      </c>
      <c r="D7" s="29" t="n">
        <v>0.9</v>
      </c>
      <c r="E7" s="30" t="n">
        <v>0</v>
      </c>
      <c r="F7" s="30" t="n">
        <v>0</v>
      </c>
      <c r="G7" s="30" t="n">
        <v>0</v>
      </c>
      <c r="H7" s="2" t="inlineStr">
        <is>
          <t>Q1 2026 10-Q operating efficiency. 2028+: zero (no operations).</t>
        </is>
      </c>
    </row>
    <row r="8">
      <c r="A8" s="2" t="inlineStr">
        <is>
          <t>Network hashrate</t>
        </is>
      </c>
      <c r="B8" s="2" t="inlineStr">
        <is>
          <t>EH/s</t>
        </is>
      </c>
      <c r="C8" s="27" t="n">
        <v>700</v>
      </c>
      <c r="D8" s="27" t="n">
        <v>800</v>
      </c>
      <c r="E8" s="28" t="n">
        <v>950</v>
      </c>
      <c r="F8" s="28" t="n">
        <v>1050</v>
      </c>
      <c r="G8" s="28" t="n">
        <v>1150</v>
      </c>
      <c r="H8" s="2" t="inlineStr">
        <is>
          <t>Network est. per public trackers. 2028+: irrelevant (CIFR exits mining).</t>
        </is>
      </c>
    </row>
    <row r="9">
      <c r="A9" s="2" t="inlineStr">
        <is>
          <t>Annual BTC issuance</t>
        </is>
      </c>
      <c r="B9" s="2" t="inlineStr">
        <is>
          <t>BTC</t>
        </is>
      </c>
      <c r="C9" s="13" t="n">
        <v>164250</v>
      </c>
      <c r="D9" s="13" t="n">
        <v>164250</v>
      </c>
      <c r="E9" s="13" t="n">
        <v>123000</v>
      </c>
      <c r="F9" s="13" t="n">
        <v>82125</v>
      </c>
      <c r="G9" s="13" t="n">
        <v>82125</v>
      </c>
      <c r="H9" s="2" t="inlineStr">
        <is>
          <t>Protocol schedule. Halving ~Apr 2028: 164,250 → 123,000 → 82,125 BTC/yr.</t>
        </is>
      </c>
    </row>
    <row r="10">
      <c r="A10" s="2" t="inlineStr">
        <is>
          <t>BTC price</t>
        </is>
      </c>
      <c r="B10" s="2" t="inlineStr">
        <is>
          <t>$/BTC</t>
        </is>
      </c>
      <c r="C10" s="31" t="n">
        <v>110000</v>
      </c>
      <c r="D10" s="31" t="n">
        <v>120000</v>
      </c>
      <c r="E10" s="32" t="n">
        <v>120000</v>
      </c>
      <c r="F10" s="32" t="n">
        <v>120000</v>
      </c>
      <c r="G10" s="32" t="n">
        <v>120000</v>
      </c>
      <c r="H10" s="2" t="inlineStr">
        <is>
          <t>USER INPUT — adjust BTC price assumption. 2028+ cells greyed (zero revenue).</t>
        </is>
      </c>
    </row>
    <row r="11">
      <c r="A11" s="2" t="inlineStr">
        <is>
          <t>Fleet efficiency</t>
        </is>
      </c>
      <c r="B11" s="2" t="inlineStr">
        <is>
          <t>J/TH</t>
        </is>
      </c>
      <c r="C11" s="33" t="n">
        <v>17.2</v>
      </c>
      <c r="D11" s="33" t="n">
        <v>17.2</v>
      </c>
      <c r="E11" s="34" t="n">
        <v>0</v>
      </c>
      <c r="F11" s="34" t="n">
        <v>0</v>
      </c>
      <c r="G11" s="34" t="n">
        <v>0</v>
      </c>
      <c r="H11" s="2" t="inlineStr">
        <is>
          <t>Q1 2026 10-Q: 17.2 J/TH fleet avg. No capex → same cohort through wind-down.</t>
        </is>
      </c>
    </row>
    <row r="12">
      <c r="A12" s="2" t="inlineStr">
        <is>
          <t>Electricity price</t>
        </is>
      </c>
      <c r="B12" s="2" t="inlineStr">
        <is>
          <t>$/MWh</t>
        </is>
      </c>
      <c r="C12" s="35" t="n">
        <v>42</v>
      </c>
      <c r="D12" s="35" t="n">
        <v>42</v>
      </c>
      <c r="E12" s="36" t="n">
        <v>0</v>
      </c>
      <c r="F12" s="36" t="n">
        <v>0</v>
      </c>
      <c r="G12" s="36" t="n">
        <v>0</v>
      </c>
      <c r="H12" s="2" t="inlineStr">
        <is>
          <t>ESTIMATE — Odessa TX PPA rate NOT publicly disclosed. ~$42/MWh proxy (W TX industrial). USER INPUT.</t>
        </is>
      </c>
    </row>
    <row r="13">
      <c r="A13" s="2" t="inlineStr">
        <is>
          <t>Other mining opex</t>
        </is>
      </c>
      <c r="B13" s="2" t="inlineStr">
        <is>
          <t>$mm</t>
        </is>
      </c>
      <c r="C13" s="35" t="n">
        <v>55</v>
      </c>
      <c r="D13" s="35" t="n">
        <v>28</v>
      </c>
      <c r="E13" s="36" t="n">
        <v>0</v>
      </c>
      <c r="F13" s="36" t="n">
        <v>0</v>
      </c>
      <c r="G13" s="36" t="n">
        <v>0</v>
      </c>
      <c r="H13" s="2" t="inlineStr">
        <is>
          <t>ESTIMATE — CIFR does not break out mining SG&amp;A from HPC in Q1 2026 filing. ~$55mm/yr proxy (proportional G&amp;A). USER INPUT.</t>
        </is>
      </c>
    </row>
    <row r="14">
      <c r="A14" s="2" t="inlineStr">
        <is>
          <t>Mining capex</t>
        </is>
      </c>
      <c r="B14" s="2" t="inlineStr">
        <is>
          <t>$mm</t>
        </is>
      </c>
      <c r="C14" s="37" t="n">
        <v>0</v>
      </c>
      <c r="D14" s="37" t="n">
        <v>0</v>
      </c>
      <c r="E14" s="36" t="n">
        <v>0</v>
      </c>
      <c r="F14" s="36" t="n">
        <v>0</v>
      </c>
      <c r="G14" s="36" t="n">
        <v>0</v>
      </c>
      <c r="H14" s="2" t="inlineStr">
        <is>
          <t>CIFR mining wind-down: no new ASIC purchases. Capex = $0.</t>
        </is>
      </c>
    </row>
    <row r="15">
      <c r="A15" s="2" t="inlineStr">
        <is>
          <t>D&amp;A (% of capex)</t>
        </is>
      </c>
      <c r="B15" s="2" t="inlineStr">
        <is>
          <t>%</t>
        </is>
      </c>
      <c r="C15" s="38" t="n">
        <v>0.2</v>
      </c>
      <c r="D15" s="38" t="n">
        <v>0.2</v>
      </c>
      <c r="E15" s="38" t="n">
        <v>0.2</v>
      </c>
      <c r="F15" s="38" t="n">
        <v>0.2</v>
      </c>
      <c r="G15" s="38" t="n">
        <v>0.2</v>
      </c>
      <c r="H15" s="2" t="inlineStr">
        <is>
          <t>With capex = $0, D&amp;A = $0. Rate kept at 20% for formula consistency.</t>
        </is>
      </c>
    </row>
    <row r="16">
      <c r="A16" s="2" t="inlineStr">
        <is>
          <t>Cash tax rate</t>
        </is>
      </c>
      <c r="B16" s="2" t="inlineStr">
        <is>
          <t>%</t>
        </is>
      </c>
      <c r="C16" s="29" t="n">
        <v>0.21</v>
      </c>
      <c r="D16" s="29" t="n">
        <v>0.21</v>
      </c>
      <c r="E16" s="30" t="n">
        <v>0.21</v>
      </c>
      <c r="F16" s="30" t="n">
        <v>0.21</v>
      </c>
      <c r="G16" s="30" t="n">
        <v>0.21</v>
      </c>
      <c r="H16" s="2" t="inlineStr">
        <is>
          <t>US federal statutory rate 21%. CIFR has NOL carryforwards → effective rate may be 0% near-term.</t>
        </is>
      </c>
    </row>
    <row r="17">
      <c r="A17" s="2" t="inlineStr">
        <is>
          <t>NWC (% of revenue)</t>
        </is>
      </c>
      <c r="B17" s="2" t="inlineStr">
        <is>
          <t>%</t>
        </is>
      </c>
      <c r="C17" s="38" t="n">
        <v>0.02</v>
      </c>
      <c r="D17" s="38" t="n">
        <v>0.02</v>
      </c>
      <c r="E17" s="38" t="n">
        <v>0.02</v>
      </c>
      <c r="F17" s="38" t="n">
        <v>0.02</v>
      </c>
      <c r="G17" s="38" t="n">
        <v>0.02</v>
      </c>
      <c r="H17" s="2" t="inlineStr">
        <is>
          <t>Working capital drag</t>
        </is>
      </c>
    </row>
    <row r="19">
      <c r="A19" s="9" t="inlineStr">
        <is>
          <t>Operating Model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Metric</t>
        </is>
      </c>
      <c r="B20" s="10" t="inlineStr">
        <is>
          <t>Unit</t>
        </is>
      </c>
      <c r="C20" s="10" t="inlineStr">
        <is>
          <t>FY2026E</t>
        </is>
      </c>
      <c r="D20" s="10" t="inlineStr">
        <is>
          <t>FY2027E</t>
        </is>
      </c>
      <c r="E20" s="10" t="inlineStr">
        <is>
          <t>FY2028E</t>
        </is>
      </c>
      <c r="F20" s="10" t="inlineStr">
        <is>
          <t>FY2029E</t>
        </is>
      </c>
      <c r="G20" s="10" t="inlineStr">
        <is>
          <t>FY2030E</t>
        </is>
      </c>
      <c r="H20" s="10" t="inlineStr">
        <is>
          <t>Formula / Comment</t>
        </is>
      </c>
    </row>
    <row r="21">
      <c r="A21" s="2" t="inlineStr">
        <is>
          <t>Avg operating hashrate</t>
        </is>
      </c>
      <c r="B21" s="2" t="inlineStr">
        <is>
          <t>EH/s</t>
        </is>
      </c>
      <c r="C21" s="39">
        <f>C6*C7</f>
        <v/>
      </c>
      <c r="D21" s="39">
        <f>D6*D7</f>
        <v/>
      </c>
      <c r="E21" s="39">
        <f>E6*E7</f>
        <v/>
      </c>
      <c r="F21" s="39">
        <f>F6*F7</f>
        <v/>
      </c>
      <c r="G21" s="39">
        <f>G6*G7</f>
        <v/>
      </c>
      <c r="H21" s="2" t="inlineStr">
        <is>
          <t>Installed × factor</t>
        </is>
      </c>
    </row>
    <row r="22">
      <c r="A22" s="2" t="inlineStr">
        <is>
          <t>Network share</t>
        </is>
      </c>
      <c r="B22" s="2" t="inlineStr">
        <is>
          <t>%</t>
        </is>
      </c>
      <c r="C22" s="40">
        <f>C21/C8</f>
        <v/>
      </c>
      <c r="D22" s="40">
        <f>D21/D8</f>
        <v/>
      </c>
      <c r="E22" s="40">
        <f>E21/E8</f>
        <v/>
      </c>
      <c r="F22" s="40">
        <f>F21/F8</f>
        <v/>
      </c>
      <c r="G22" s="40">
        <f>G21/G8</f>
        <v/>
      </c>
      <c r="H22" s="2" t="inlineStr">
        <is>
          <t>Op hashrate / network</t>
        </is>
      </c>
    </row>
    <row r="23">
      <c r="A23" s="2" t="inlineStr">
        <is>
          <t>BTC mined</t>
        </is>
      </c>
      <c r="B23" s="2" t="inlineStr">
        <is>
          <t>BTC</t>
        </is>
      </c>
      <c r="C23" s="5">
        <f>C22*C9</f>
        <v/>
      </c>
      <c r="D23" s="5">
        <f>D22*D9</f>
        <v/>
      </c>
      <c r="E23" s="5">
        <f>E22*E9</f>
        <v/>
      </c>
      <c r="F23" s="5">
        <f>F22*F9</f>
        <v/>
      </c>
      <c r="G23" s="5">
        <f>G22*G9</f>
        <v/>
      </c>
      <c r="H23" s="2" t="inlineStr">
        <is>
          <t>Share × issuance</t>
        </is>
      </c>
    </row>
    <row r="24">
      <c r="A24" s="2" t="inlineStr">
        <is>
          <t>Mining revenue</t>
        </is>
      </c>
      <c r="B24" s="2" t="inlineStr">
        <is>
          <t>$mm</t>
        </is>
      </c>
      <c r="C24" s="41">
        <f>C23*C10/1000000</f>
        <v/>
      </c>
      <c r="D24" s="41">
        <f>D23*D10/1000000</f>
        <v/>
      </c>
      <c r="E24" s="41">
        <f>E23*E10/1000000</f>
        <v/>
      </c>
      <c r="F24" s="41">
        <f>F23*F10/1000000</f>
        <v/>
      </c>
      <c r="G24" s="41">
        <f>G23*G10/1000000</f>
        <v/>
      </c>
      <c r="H24" s="2" t="inlineStr">
        <is>
          <t>BTC mined × price</t>
        </is>
      </c>
    </row>
    <row r="25">
      <c r="A25" s="2" t="inlineStr">
        <is>
          <t>Power draw</t>
        </is>
      </c>
      <c r="B25" s="2" t="inlineStr">
        <is>
          <t>MW</t>
        </is>
      </c>
      <c r="C25" s="5">
        <f>C21*C11</f>
        <v/>
      </c>
      <c r="D25" s="5">
        <f>D21*D11</f>
        <v/>
      </c>
      <c r="E25" s="5">
        <f>E21*E11</f>
        <v/>
      </c>
      <c r="F25" s="5">
        <f>F21*F11</f>
        <v/>
      </c>
      <c r="G25" s="5">
        <f>G21*G11</f>
        <v/>
      </c>
      <c r="H25" s="2" t="inlineStr">
        <is>
          <t>EH/s × J/TH</t>
        </is>
      </c>
    </row>
    <row r="26">
      <c r="A26" s="2" t="inlineStr">
        <is>
          <t>Electricity cost</t>
        </is>
      </c>
      <c r="B26" s="2" t="inlineStr">
        <is>
          <t>$mm</t>
        </is>
      </c>
      <c r="C26" s="41">
        <f>C25*24*365*C12/1000000</f>
        <v/>
      </c>
      <c r="D26" s="41">
        <f>D25*24*365*D12/1000000</f>
        <v/>
      </c>
      <c r="E26" s="41">
        <f>E25*24*365*E12/1000000</f>
        <v/>
      </c>
      <c r="F26" s="41">
        <f>F25*24*365*F12/1000000</f>
        <v/>
      </c>
      <c r="G26" s="41">
        <f>G25*24*365*G12/1000000</f>
        <v/>
      </c>
      <c r="H26" s="2" t="inlineStr">
        <is>
          <t>MW × hours × $/MWh</t>
        </is>
      </c>
    </row>
    <row r="27">
      <c r="A27" s="2" t="inlineStr">
        <is>
          <t>Other opex</t>
        </is>
      </c>
      <c r="B27" s="2" t="inlineStr">
        <is>
          <t>$mm</t>
        </is>
      </c>
      <c r="C27" s="41">
        <f>C13</f>
        <v/>
      </c>
      <c r="D27" s="41">
        <f>D13</f>
        <v/>
      </c>
      <c r="E27" s="41">
        <f>E13</f>
        <v/>
      </c>
      <c r="F27" s="41">
        <f>F13</f>
        <v/>
      </c>
      <c r="G27" s="41">
        <f>G13</f>
        <v/>
      </c>
      <c r="H27" s="2" t="inlineStr">
        <is>
          <t>From assumptions</t>
        </is>
      </c>
    </row>
    <row r="28">
      <c r="A28" s="2" t="inlineStr">
        <is>
          <t>Total cash opex</t>
        </is>
      </c>
      <c r="B28" s="2" t="inlineStr">
        <is>
          <t>$mm</t>
        </is>
      </c>
      <c r="C28" s="41">
        <f>C26+C27</f>
        <v/>
      </c>
      <c r="D28" s="41">
        <f>D26+D27</f>
        <v/>
      </c>
      <c r="E28" s="41">
        <f>E26+E27</f>
        <v/>
      </c>
      <c r="F28" s="41">
        <f>F26+F27</f>
        <v/>
      </c>
      <c r="G28" s="41">
        <f>G26+G27</f>
        <v/>
      </c>
      <c r="H28" s="2" t="inlineStr">
        <is>
          <t>Electricity + other</t>
        </is>
      </c>
    </row>
    <row r="29">
      <c r="A29" s="2" t="inlineStr">
        <is>
          <t>Mining EBITDA</t>
        </is>
      </c>
      <c r="B29" s="2" t="inlineStr">
        <is>
          <t>$mm</t>
        </is>
      </c>
      <c r="C29" s="41">
        <f>C24-C28</f>
        <v/>
      </c>
      <c r="D29" s="41">
        <f>D24-D28</f>
        <v/>
      </c>
      <c r="E29" s="41">
        <f>E24-E28</f>
        <v/>
      </c>
      <c r="F29" s="41">
        <f>F24-F28</f>
        <v/>
      </c>
      <c r="G29" s="41">
        <f>G24-G28</f>
        <v/>
      </c>
      <c r="H29" s="2" t="inlineStr">
        <is>
          <t>Revenue − cash opex</t>
        </is>
      </c>
    </row>
    <row r="30">
      <c r="A30" s="2" t="inlineStr">
        <is>
          <t>EBITDA margin</t>
        </is>
      </c>
      <c r="B30" s="2" t="inlineStr">
        <is>
          <t>%</t>
        </is>
      </c>
      <c r="C30" s="40">
        <f>C29/C24</f>
        <v/>
      </c>
      <c r="D30" s="40">
        <f>D29/D24</f>
        <v/>
      </c>
      <c r="E30" s="40">
        <f>E29/E24</f>
        <v/>
      </c>
      <c r="F30" s="40">
        <f>F29/F24</f>
        <v/>
      </c>
      <c r="G30" s="40">
        <f>G29/G24</f>
        <v/>
      </c>
      <c r="H30" s="2" t="inlineStr">
        <is>
          <t>EBITDA / revenue</t>
        </is>
      </c>
    </row>
    <row r="31">
      <c r="A31" s="2" t="inlineStr">
        <is>
          <t>D&amp;A</t>
        </is>
      </c>
      <c r="B31" s="2" t="inlineStr">
        <is>
          <t>$mm</t>
        </is>
      </c>
      <c r="C31" s="41">
        <f>C14*C15</f>
        <v/>
      </c>
      <c r="D31" s="41">
        <f>D14*D15</f>
        <v/>
      </c>
      <c r="E31" s="41">
        <f>E14*E15</f>
        <v/>
      </c>
      <c r="F31" s="41">
        <f>F14*F15</f>
        <v/>
      </c>
      <c r="G31" s="41">
        <f>G14*G15</f>
        <v/>
      </c>
      <c r="H31" s="2" t="inlineStr">
        <is>
          <t>Capex × D&amp;A%</t>
        </is>
      </c>
    </row>
    <row r="32">
      <c r="A32" s="2" t="inlineStr">
        <is>
          <t>Cash taxes</t>
        </is>
      </c>
      <c r="B32" s="2" t="inlineStr">
        <is>
          <t>$mm</t>
        </is>
      </c>
      <c r="C32" s="41">
        <f>MAX(0,(C29-C31)*C16)</f>
        <v/>
      </c>
      <c r="D32" s="41">
        <f>MAX(0,(D29-D31)*D16)</f>
        <v/>
      </c>
      <c r="E32" s="41">
        <f>MAX(0,(E29-E31)*E16)</f>
        <v/>
      </c>
      <c r="F32" s="41">
        <f>MAX(0,(F29-F31)*F16)</f>
        <v/>
      </c>
      <c r="G32" s="41">
        <f>MAX(0,(G29-G31)*G16)</f>
        <v/>
      </c>
      <c r="H32" s="2" t="inlineStr">
        <is>
          <t>Max(0, EBIT × tax)</t>
        </is>
      </c>
    </row>
    <row r="33">
      <c r="A33" s="2" t="inlineStr">
        <is>
          <t>Mining capex</t>
        </is>
      </c>
      <c r="B33" s="2" t="inlineStr">
        <is>
          <t>$mm</t>
        </is>
      </c>
      <c r="C33" s="41">
        <f>C14</f>
        <v/>
      </c>
      <c r="D33" s="41">
        <f>D14</f>
        <v/>
      </c>
      <c r="E33" s="41">
        <f>E14</f>
        <v/>
      </c>
      <c r="F33" s="41">
        <f>F14</f>
        <v/>
      </c>
      <c r="G33" s="41">
        <f>G14</f>
        <v/>
      </c>
      <c r="H33" s="2" t="inlineStr">
        <is>
          <t>From assumptions</t>
        </is>
      </c>
    </row>
    <row r="34">
      <c r="A34" s="2" t="inlineStr">
        <is>
          <t>Change in NWC</t>
        </is>
      </c>
      <c r="B34" s="2" t="inlineStr">
        <is>
          <t>$mm</t>
        </is>
      </c>
      <c r="C34" s="41">
        <f>C24*C17</f>
        <v/>
      </c>
      <c r="D34" s="41">
        <f>D24*D17</f>
        <v/>
      </c>
      <c r="E34" s="41">
        <f>E24*E17</f>
        <v/>
      </c>
      <c r="F34" s="41">
        <f>F24*F17</f>
        <v/>
      </c>
      <c r="G34" s="41">
        <f>G24*G17</f>
        <v/>
      </c>
      <c r="H34" s="2" t="inlineStr">
        <is>
          <t>Revenue × NWC%</t>
        </is>
      </c>
    </row>
    <row r="35">
      <c r="A35" s="2" t="inlineStr">
        <is>
          <t>Mining FCF</t>
        </is>
      </c>
      <c r="B35" s="2" t="inlineStr">
        <is>
          <t>$mm</t>
        </is>
      </c>
      <c r="C35" s="41">
        <f>C29-C32-C33-C34</f>
        <v/>
      </c>
      <c r="D35" s="41">
        <f>D29-D32-D33-D34</f>
        <v/>
      </c>
      <c r="E35" s="41">
        <f>E29-E32-E33-E34</f>
        <v/>
      </c>
      <c r="F35" s="41">
        <f>F29-F32-F33-F34</f>
        <v/>
      </c>
      <c r="G35" s="41">
        <f>G29-G32-G33-G34</f>
        <v/>
      </c>
      <c r="H35" s="2" t="inlineStr">
        <is>
          <t>EBITDA − tax − capex − NWC</t>
        </is>
      </c>
    </row>
    <row r="37">
      <c r="A37" s="9" t="inlineStr">
        <is>
          <t>Valuation — Mining Only (Enterprise Value building block)</t>
        </is>
      </c>
      <c r="B37" s="9" t="n"/>
      <c r="C37" s="9" t="n"/>
      <c r="D37" s="9" t="n"/>
      <c r="E37" s="9" t="n"/>
      <c r="F37" s="9" t="n"/>
      <c r="G37" s="9" t="n"/>
      <c r="H37" s="9" t="n"/>
    </row>
    <row r="38">
      <c r="A38" s="21" t="inlineStr">
        <is>
          <t>Method 1 — DCF: 5-yr explicit FCF + normalized terminal value</t>
        </is>
      </c>
    </row>
    <row r="39">
      <c r="A39" s="2" t="inlineStr">
        <is>
          <t>WACC</t>
        </is>
      </c>
      <c r="B39" s="2" t="inlineStr">
        <is>
          <t>%</t>
        </is>
      </c>
      <c r="C39" s="42" t="n">
        <v>0.15</v>
      </c>
      <c r="H39" s="2" t="inlineStr">
        <is>
          <t>CIFR mining wind-down: 15% WACC (higher risk given finite life). No terminal value.</t>
        </is>
      </c>
    </row>
    <row r="40">
      <c r="A40" s="2" t="inlineStr">
        <is>
          <t>Terminal growth (g)</t>
        </is>
      </c>
      <c r="B40" s="2" t="inlineStr">
        <is>
          <t>%</t>
        </is>
      </c>
      <c r="C40" s="30" t="n">
        <v>0</v>
      </c>
      <c r="H40" s="2" t="inlineStr">
        <is>
          <t>Terminal growth = 0 — CIFR mining has no going-concern value beyond FY2027.</t>
        </is>
      </c>
    </row>
    <row r="41">
      <c r="A41" s="2" t="inlineStr">
        <is>
          <t>Maintenance capex (terminal)</t>
        </is>
      </c>
      <c r="B41" s="2" t="inlineStr">
        <is>
          <t>$mm</t>
        </is>
      </c>
      <c r="C41" s="36" t="n">
        <v>0</v>
      </c>
      <c r="H41" s="2" t="inlineStr">
        <is>
          <t>Steady-state capex ≈ D&amp;A to sustain fleet</t>
        </is>
      </c>
    </row>
    <row r="43">
      <c r="A43" s="2" t="inlineStr">
        <is>
          <t>Period</t>
        </is>
      </c>
      <c r="B43" s="2" t="inlineStr">
        <is>
          <t>#</t>
        </is>
      </c>
      <c r="C43" s="7" t="n">
        <v>1</v>
      </c>
      <c r="D43" s="7" t="n">
        <v>2</v>
      </c>
      <c r="E43" s="7" t="n">
        <v>3</v>
      </c>
      <c r="F43" s="7" t="n">
        <v>4</v>
      </c>
      <c r="G43" s="7" t="n">
        <v>5</v>
      </c>
    </row>
    <row r="44">
      <c r="A44" s="2" t="inlineStr">
        <is>
          <t>Mining FCF</t>
        </is>
      </c>
      <c r="B44" s="2" t="inlineStr">
        <is>
          <t>$mm</t>
        </is>
      </c>
      <c r="C44" s="41">
        <f>C35</f>
        <v/>
      </c>
      <c r="D44" s="41">
        <f>D35</f>
        <v/>
      </c>
      <c r="E44" s="41">
        <f>E35</f>
        <v/>
      </c>
      <c r="F44" s="41">
        <f>F35</f>
        <v/>
      </c>
      <c r="G44" s="41">
        <f>G35</f>
        <v/>
      </c>
    </row>
    <row r="45">
      <c r="A45" s="2" t="inlineStr">
        <is>
          <t>Discount factor</t>
        </is>
      </c>
      <c r="B45" s="2" t="inlineStr">
        <is>
          <t>x</t>
        </is>
      </c>
      <c r="C45" s="43">
        <f>1/(1+$C$39)^C43</f>
        <v/>
      </c>
      <c r="D45" s="43">
        <f>1/(1+$C$39)^D43</f>
        <v/>
      </c>
      <c r="E45" s="43">
        <f>1/(1+$C$39)^E43</f>
        <v/>
      </c>
      <c r="F45" s="43">
        <f>1/(1+$C$39)^F43</f>
        <v/>
      </c>
      <c r="G45" s="43">
        <f>1/(1+$C$39)^G43</f>
        <v/>
      </c>
    </row>
    <row r="46">
      <c r="A46" s="2" t="inlineStr">
        <is>
          <t>PV of FCF</t>
        </is>
      </c>
      <c r="B46" s="2" t="inlineStr">
        <is>
          <t>$mm</t>
        </is>
      </c>
      <c r="C46" s="41">
        <f>C44*C45</f>
        <v/>
      </c>
      <c r="D46" s="41">
        <f>D44*D45</f>
        <v/>
      </c>
      <c r="E46" s="41">
        <f>E44*E45</f>
        <v/>
      </c>
      <c r="F46" s="41">
        <f>F44*F45</f>
        <v/>
      </c>
      <c r="G46" s="41">
        <f>G44*G45</f>
        <v/>
      </c>
    </row>
    <row r="47">
      <c r="A47" s="2" t="inlineStr">
        <is>
          <t>Normalized terminal FCF</t>
        </is>
      </c>
      <c r="B47" s="2" t="inlineStr">
        <is>
          <t>$mm</t>
        </is>
      </c>
      <c r="C47" s="41">
        <f>G29-MAX(0,(G29-C41)*G16)-C41</f>
        <v/>
      </c>
      <c r="H47" s="2" t="inlineStr">
        <is>
          <t>Auto-zeroes: FY2030 hashrate = 0 → EBITDA = 0 → TV = $0. Mining has no terminal value.</t>
        </is>
      </c>
    </row>
    <row r="48">
      <c r="A48" s="2" t="inlineStr">
        <is>
          <t>Terminal value (undiscounted)</t>
        </is>
      </c>
      <c r="B48" s="2" t="inlineStr">
        <is>
          <t>$mm</t>
        </is>
      </c>
      <c r="C48" s="41">
        <f>C47*(1+C40)/(C39-C40)</f>
        <v/>
      </c>
      <c r="H48" s="2" t="inlineStr">
        <is>
          <t>TV = $0. CIFR mining terminates when Odessa TX PPA expires (Jul 2027).</t>
        </is>
      </c>
    </row>
    <row r="49">
      <c r="A49" s="2" t="inlineStr">
        <is>
          <t>PV of terminal value</t>
        </is>
      </c>
      <c r="B49" s="2" t="inlineStr">
        <is>
          <t>$mm</t>
        </is>
      </c>
      <c r="C49" s="41">
        <f>C48*G45</f>
        <v/>
      </c>
      <c r="H49" s="2" t="inlineStr">
        <is>
          <t>Discounted at yr-5 factor</t>
        </is>
      </c>
    </row>
    <row r="50">
      <c r="A50" s="2" t="inlineStr">
        <is>
          <t>Sum PV of explicit FCF</t>
        </is>
      </c>
      <c r="B50" s="2" t="inlineStr">
        <is>
          <t>$mm</t>
        </is>
      </c>
      <c r="C50" s="41">
        <f>SUM(C46:G46)</f>
        <v/>
      </c>
      <c r="H50" s="2" t="inlineStr">
        <is>
          <t>FY26–FY30</t>
        </is>
      </c>
    </row>
    <row r="51">
      <c r="A51" s="2" t="inlineStr">
        <is>
          <t>DCF Enterprise Value</t>
        </is>
      </c>
      <c r="B51" s="2" t="inlineStr">
        <is>
          <t>$mm</t>
        </is>
      </c>
      <c r="C51" s="44">
        <f>C50+C49</f>
        <v/>
      </c>
      <c r="H51" s="2" t="inlineStr">
        <is>
          <t>Mining-only EV (Method 1)</t>
        </is>
      </c>
    </row>
    <row r="53">
      <c r="A53" s="21" t="inlineStr">
        <is>
          <t>Method 2 — EV/EBITDA cross-check</t>
        </is>
      </c>
    </row>
    <row r="54">
      <c r="A54" s="2" t="inlineStr">
        <is>
          <t>Reference EBITDA (FY2026E — last full mining year)</t>
        </is>
      </c>
      <c r="B54" s="2" t="inlineStr">
        <is>
          <t>$mm</t>
        </is>
      </c>
      <c r="C54" s="41">
        <f>C29</f>
        <v/>
      </c>
      <c r="H54" s="2" t="inlineStr">
        <is>
          <t>Use FY2026E EBITDA as reference — FY2027 is only 6 months of mining.</t>
        </is>
      </c>
    </row>
    <row r="55">
      <c r="A55" s="2" t="inlineStr">
        <is>
          <t>Mining EV/EBITDA multiple</t>
        </is>
      </c>
      <c r="B55" s="2" t="inlineStr">
        <is>
          <t>x</t>
        </is>
      </c>
      <c r="C55" s="45" t="n">
        <v>3</v>
      </c>
      <c r="H55" s="2" t="inlineStr">
        <is>
          <t>3x EV/EBITDA — wind-down asset (finite life ~18 months). Peer pure-play miners ~5-8x, but CIFR mining is terminal.</t>
        </is>
      </c>
    </row>
    <row r="56">
      <c r="A56" s="2" t="inlineStr">
        <is>
          <t>Implied Enterprise Value</t>
        </is>
      </c>
      <c r="B56" s="2" t="inlineStr">
        <is>
          <t>$mm</t>
        </is>
      </c>
      <c r="C56" s="44">
        <f>C54*C55</f>
        <v/>
      </c>
      <c r="H56" s="2" t="inlineStr">
        <is>
          <t>Mining-only EV (Method 2)</t>
        </is>
      </c>
    </row>
    <row r="58">
      <c r="A58" s="21" t="inlineStr">
        <is>
          <t>Reconciliation</t>
        </is>
      </c>
    </row>
    <row r="59">
      <c r="A59" s="2" t="inlineStr">
        <is>
          <t>DCF EV (Method 1)</t>
        </is>
      </c>
      <c r="B59" s="2" t="inlineStr">
        <is>
          <t>$mm</t>
        </is>
      </c>
      <c r="C59" s="41">
        <f>C51</f>
        <v/>
      </c>
    </row>
    <row r="60">
      <c r="A60" s="2" t="inlineStr">
        <is>
          <t>Multiple EV (Method 2)</t>
        </is>
      </c>
      <c r="B60" s="2" t="inlineStr">
        <is>
          <t>$mm</t>
        </is>
      </c>
      <c r="C60" s="41">
        <f>C56</f>
        <v/>
      </c>
    </row>
    <row r="61">
      <c r="A61" s="2" t="inlineStr">
        <is>
          <t>Difference (Multiple − DCF)</t>
        </is>
      </c>
      <c r="B61" s="2" t="inlineStr">
        <is>
          <t>$mm</t>
        </is>
      </c>
      <c r="C61" s="41">
        <f>C60-C59</f>
        <v/>
      </c>
      <c r="H61" s="2" t="inlineStr">
        <is>
          <t>Large gap = methodology sensitivity (see notes)</t>
        </is>
      </c>
    </row>
    <row r="62">
      <c r="A62" s="2" t="inlineStr">
        <is>
          <t>Selected method (1=DCF, 2=Multiple)</t>
        </is>
      </c>
      <c r="B62" s="2" t="inlineStr">
        <is>
          <t>#</t>
        </is>
      </c>
      <c r="C62" s="18" t="n">
        <v>2</v>
      </c>
      <c r="H62" s="2" t="inlineStr">
        <is>
          <t>Choose consciously — do not blend</t>
        </is>
      </c>
    </row>
    <row r="63">
      <c r="A63" s="2" t="inlineStr">
        <is>
          <t>Selected mining EV</t>
        </is>
      </c>
      <c r="B63" s="2" t="inlineStr">
        <is>
          <t>$mm</t>
        </is>
      </c>
      <c r="C63" s="44">
        <f>IF(C62=1,C59,C60)</f>
        <v/>
      </c>
      <c r="H63" s="2" t="inlineStr">
        <is>
          <t>Building block for SOTP — add to other segments</t>
        </is>
      </c>
    </row>
    <row r="66">
      <c r="A66" s="46" t="inlineStr">
        <is>
          <t>⚠  CIFR MINING WIND-DOWN NOTES</t>
        </is>
      </c>
      <c r="B66" s="9" t="n"/>
      <c r="C66" s="9" t="n"/>
      <c r="D66" s="9" t="n"/>
      <c r="E66" s="9" t="n"/>
      <c r="F66" s="9" t="n"/>
      <c r="G66" s="9" t="n"/>
      <c r="H66" s="9" t="n"/>
    </row>
    <row r="67">
      <c r="A67" s="47" t="inlineStr">
        <is>
          <t>Structure:</t>
        </is>
      </c>
      <c r="B67" s="48" t="inlineStr">
        <is>
          <t>CIFR is exiting Bitcoin mining. Odessa TX PPA (200 MW) expires July 2027. All capacity converting to HPC/AI data center use.</t>
        </is>
      </c>
    </row>
    <row r="68">
      <c r="A68" s="47" t="inlineStr">
        <is>
          <t>FY2027 treatment:</t>
        </is>
      </c>
      <c r="B68" s="48" t="inlineStr">
        <is>
          <t>FY2027 reflects ~6 months of mining revenue (Jan–Jun 2027). Hashrate assumption = 5.8 EH/s effective average.</t>
        </is>
      </c>
      <c r="C68" s="38" t="n">
        <v>0.09</v>
      </c>
      <c r="D68" s="38" t="n">
        <v>0.1</v>
      </c>
      <c r="E68" s="38" t="n">
        <v>0.11</v>
      </c>
      <c r="F68" s="38" t="n">
        <v>0.12</v>
      </c>
      <c r="G68" s="38" t="n">
        <v>0.13</v>
      </c>
      <c r="H68" s="38" t="n">
        <v>0.14</v>
      </c>
      <c r="I68" s="38" t="n">
        <v>0.15</v>
      </c>
    </row>
    <row r="69">
      <c r="A69" s="47" t="inlineStr">
        <is>
          <t>Terminal value:</t>
        </is>
      </c>
      <c r="B69" s="49" t="inlineStr">
        <is>
          <t>$0. No residual mining operations after July 2027. This EV is a finite-cash-flow present value, not a going-concern DCF.</t>
        </is>
      </c>
      <c r="C69" s="41">
        <f>(($C$23*$B69/1000000)-$C$28-MAX(0,(($C$23*$B69/1000000)-$C$28-$C$31)*$C$16)-$C$33-(($C$23*$B69/1000000)*$C$17))/(1+C$68)^1+(($D$23*$B69/1000000)-$D$28-MAX(0,(($D$23*$B69/1000000)-$D$28-$D$31)*$D$16)-$D$33-(($D$23*$B69/1000000)*$D$17))/(1+C$68)^2+(($E$23*$B69/1000000)-$E$28-MAX(0,(($E$23*$B69/1000000)-$E$28-$E$31)*$E$16)-$E$33-(($E$23*$B69/1000000)*$E$17))/(1+C$68)^3+(($F$23*$B69/1000000)-$F$28-MAX(0,(($F$23*$B69/1000000)-$F$28-$F$31)*$F$16)-$F$33-(($F$23*$B69/1000000)*$F$17))/(1+C$68)^4+(($G$23*$B69/1000000)-$G$28-MAX(0,(($G$23*$B69/1000000)-$G$28-$G$31)*$G$16)-$G$33-(($G$23*$B69/1000000)*$G$17))/(1+C$68)^5+((($G$23*$B69/1000000)-$G$28-MAX(0,(($G$23*$B69/1000000)-$G$28-$C$41)*$G$16)-$C$41)*(1+$C$40)/(C$68-$C$40))/(1+C$68)^5</f>
        <v/>
      </c>
      <c r="D69" s="41">
        <f>(($C$23*$B69/1000000)-$C$28-MAX(0,(($C$23*$B69/1000000)-$C$28-$C$31)*$C$16)-$C$33-(($C$23*$B69/1000000)*$C$17))/(1+D$68)^1+(($D$23*$B69/1000000)-$D$28-MAX(0,(($D$23*$B69/1000000)-$D$28-$D$31)*$D$16)-$D$33-(($D$23*$B69/1000000)*$D$17))/(1+D$68)^2+(($E$23*$B69/1000000)-$E$28-MAX(0,(($E$23*$B69/1000000)-$E$28-$E$31)*$E$16)-$E$33-(($E$23*$B69/1000000)*$E$17))/(1+D$68)^3+(($F$23*$B69/1000000)-$F$28-MAX(0,(($F$23*$B69/1000000)-$F$28-$F$31)*$F$16)-$F$33-(($F$23*$B69/1000000)*$F$17))/(1+D$68)^4+(($G$23*$B69/1000000)-$G$28-MAX(0,(($G$23*$B69/1000000)-$G$28-$G$31)*$G$16)-$G$33-(($G$23*$B69/1000000)*$G$17))/(1+D$68)^5+((($G$23*$B69/1000000)-$G$28-MAX(0,(($G$23*$B69/1000000)-$G$28-$C$41)*$G$16)-$C$41)*(1+$C$40)/(D$68-$C$40))/(1+D$68)^5</f>
        <v/>
      </c>
      <c r="E69" s="41">
        <f>(($C$23*$B69/1000000)-$C$28-MAX(0,(($C$23*$B69/1000000)-$C$28-$C$31)*$C$16)-$C$33-(($C$23*$B69/1000000)*$C$17))/(1+E$68)^1+(($D$23*$B69/1000000)-$D$28-MAX(0,(($D$23*$B69/1000000)-$D$28-$D$31)*$D$16)-$D$33-(($D$23*$B69/1000000)*$D$17))/(1+E$68)^2+(($E$23*$B69/1000000)-$E$28-MAX(0,(($E$23*$B69/1000000)-$E$28-$E$31)*$E$16)-$E$33-(($E$23*$B69/1000000)*$E$17))/(1+E$68)^3+(($F$23*$B69/1000000)-$F$28-MAX(0,(($F$23*$B69/1000000)-$F$28-$F$31)*$F$16)-$F$33-(($F$23*$B69/1000000)*$F$17))/(1+E$68)^4+(($G$23*$B69/1000000)-$G$28-MAX(0,(($G$23*$B69/1000000)-$G$28-$G$31)*$G$16)-$G$33-(($G$23*$B69/1000000)*$G$17))/(1+E$68)^5+((($G$23*$B69/1000000)-$G$28-MAX(0,(($G$23*$B69/1000000)-$G$28-$C$41)*$G$16)-$C$41)*(1+$C$40)/(E$68-$C$40))/(1+E$68)^5</f>
        <v/>
      </c>
      <c r="F69" s="41">
        <f>(($C$23*$B69/1000000)-$C$28-MAX(0,(($C$23*$B69/1000000)-$C$28-$C$31)*$C$16)-$C$33-(($C$23*$B69/1000000)*$C$17))/(1+F$68)^1+(($D$23*$B69/1000000)-$D$28-MAX(0,(($D$23*$B69/1000000)-$D$28-$D$31)*$D$16)-$D$33-(($D$23*$B69/1000000)*$D$17))/(1+F$68)^2+(($E$23*$B69/1000000)-$E$28-MAX(0,(($E$23*$B69/1000000)-$E$28-$E$31)*$E$16)-$E$33-(($E$23*$B69/1000000)*$E$17))/(1+F$68)^3+(($F$23*$B69/1000000)-$F$28-MAX(0,(($F$23*$B69/1000000)-$F$28-$F$31)*$F$16)-$F$33-(($F$23*$B69/1000000)*$F$17))/(1+F$68)^4+(($G$23*$B69/1000000)-$G$28-MAX(0,(($G$23*$B69/1000000)-$G$28-$G$31)*$G$16)-$G$33-(($G$23*$B69/1000000)*$G$17))/(1+F$68)^5+((($G$23*$B69/1000000)-$G$28-MAX(0,(($G$23*$B69/1000000)-$G$28-$C$41)*$G$16)-$C$41)*(1+$C$40)/(F$68-$C$40))/(1+F$68)^5</f>
        <v/>
      </c>
      <c r="G69" s="41">
        <f>(($C$23*$B69/1000000)-$C$28-MAX(0,(($C$23*$B69/1000000)-$C$28-$C$31)*$C$16)-$C$33-(($C$23*$B69/1000000)*$C$17))/(1+G$68)^1+(($D$23*$B69/1000000)-$D$28-MAX(0,(($D$23*$B69/1000000)-$D$28-$D$31)*$D$16)-$D$33-(($D$23*$B69/1000000)*$D$17))/(1+G$68)^2+(($E$23*$B69/1000000)-$E$28-MAX(0,(($E$23*$B69/1000000)-$E$28-$E$31)*$E$16)-$E$33-(($E$23*$B69/1000000)*$E$17))/(1+G$68)^3+(($F$23*$B69/1000000)-$F$28-MAX(0,(($F$23*$B69/1000000)-$F$28-$F$31)*$F$16)-$F$33-(($F$23*$B69/1000000)*$F$17))/(1+G$68)^4+(($G$23*$B69/1000000)-$G$28-MAX(0,(($G$23*$B69/1000000)-$G$28-$G$31)*$G$16)-$G$33-(($G$23*$B69/1000000)*$G$17))/(1+G$68)^5+((($G$23*$B69/1000000)-$G$28-MAX(0,(($G$23*$B69/1000000)-$G$28-$C$41)*$G$16)-$C$41)*(1+$C$40)/(G$68-$C$40))/(1+G$68)^5</f>
        <v/>
      </c>
      <c r="H69" s="41">
        <f>(($C$23*$B69/1000000)-$C$28-MAX(0,(($C$23*$B69/1000000)-$C$28-$C$31)*$C$16)-$C$33-(($C$23*$B69/1000000)*$C$17))/(1+H$68)^1+(($D$23*$B69/1000000)-$D$28-MAX(0,(($D$23*$B69/1000000)-$D$28-$D$31)*$D$16)-$D$33-(($D$23*$B69/1000000)*$D$17))/(1+H$68)^2+(($E$23*$B69/1000000)-$E$28-MAX(0,(($E$23*$B69/1000000)-$E$28-$E$31)*$E$16)-$E$33-(($E$23*$B69/1000000)*$E$17))/(1+H$68)^3+(($F$23*$B69/1000000)-$F$28-MAX(0,(($F$23*$B69/1000000)-$F$28-$F$31)*$F$16)-$F$33-(($F$23*$B69/1000000)*$F$17))/(1+H$68)^4+(($G$23*$B69/1000000)-$G$28-MAX(0,(($G$23*$B69/1000000)-$G$28-$G$31)*$G$16)-$G$33-(($G$23*$B69/1000000)*$G$17))/(1+H$68)^5+((($G$23*$B69/1000000)-$G$28-MAX(0,(($G$23*$B69/1000000)-$G$28-$C$41)*$G$16)-$C$41)*(1+$C$40)/(H$68-$C$40))/(1+H$68)^5</f>
        <v/>
      </c>
      <c r="I69" s="50">
        <f>(($C$23*$B69/1000000)-$C$28-MAX(0,(($C$23*$B69/1000000)-$C$28-$C$31)*$C$16)-$C$33-(($C$23*$B69/1000000)*$C$17))/(1+I$68)^1+(($D$23*$B69/1000000)-$D$28-MAX(0,(($D$23*$B69/1000000)-$D$28-$D$31)*$D$16)-$D$33-(($D$23*$B69/1000000)*$D$17))/(1+I$68)^2+(($E$23*$B69/1000000)-$E$28-MAX(0,(($E$23*$B69/1000000)-$E$28-$E$31)*$E$16)-$E$33-(($E$23*$B69/1000000)*$E$17))/(1+I$68)^3+(($F$23*$B69/1000000)-$F$28-MAX(0,(($F$23*$B69/1000000)-$F$28-$F$31)*$F$16)-$F$33-(($F$23*$B69/1000000)*$F$17))/(1+I$68)^4+(($G$23*$B69/1000000)-$G$28-MAX(0,(($G$23*$B69/1000000)-$G$28-$G$31)*$G$16)-$G$33-(($G$23*$B69/1000000)*$G$17))/(1+I$68)^5+((($G$23*$B69/1000000)-$G$28-MAX(0,(($G$23*$B69/1000000)-$G$28-$C$41)*$G$16)-$C$41)*(1+$C$40)/(I$68-$C$40))/(1+I$68)^5</f>
        <v/>
      </c>
    </row>
    <row r="70">
      <c r="A70" s="47" t="inlineStr">
        <is>
          <t>Missing data:</t>
        </is>
      </c>
      <c r="B70" s="49" t="inlineStr">
        <is>
          <t>Electricity $/MWh (Odessa PPA rate not disclosed) and mining SG&amp;A (not broken out from HPC) are ESTIMATES. See orange cells.</t>
        </is>
      </c>
      <c r="C70" s="41">
        <f>(($C$23*$B70/1000000)-$C$28-MAX(0,(($C$23*$B70/1000000)-$C$28-$C$31)*$C$16)-$C$33-(($C$23*$B70/1000000)*$C$17))/(1+C$68)^1+(($D$23*$B70/1000000)-$D$28-MAX(0,(($D$23*$B70/1000000)-$D$28-$D$31)*$D$16)-$D$33-(($D$23*$B70/1000000)*$D$17))/(1+C$68)^2+(($E$23*$B70/1000000)-$E$28-MAX(0,(($E$23*$B70/1000000)-$E$28-$E$31)*$E$16)-$E$33-(($E$23*$B70/1000000)*$E$17))/(1+C$68)^3+(($F$23*$B70/1000000)-$F$28-MAX(0,(($F$23*$B70/1000000)-$F$28-$F$31)*$F$16)-$F$33-(($F$23*$B70/1000000)*$F$17))/(1+C$68)^4+(($G$23*$B70/1000000)-$G$28-MAX(0,(($G$23*$B70/1000000)-$G$28-$G$31)*$G$16)-$G$33-(($G$23*$B70/1000000)*$G$17))/(1+C$68)^5+((($G$23*$B70/1000000)-$G$28-MAX(0,(($G$23*$B70/1000000)-$G$28-$C$41)*$G$16)-$C$41)*(1+$C$40)/(C$68-$C$40))/(1+C$68)^5</f>
        <v/>
      </c>
      <c r="D70" s="41">
        <f>(($C$23*$B70/1000000)-$C$28-MAX(0,(($C$23*$B70/1000000)-$C$28-$C$31)*$C$16)-$C$33-(($C$23*$B70/1000000)*$C$17))/(1+D$68)^1+(($D$23*$B70/1000000)-$D$28-MAX(0,(($D$23*$B70/1000000)-$D$28-$D$31)*$D$16)-$D$33-(($D$23*$B70/1000000)*$D$17))/(1+D$68)^2+(($E$23*$B70/1000000)-$E$28-MAX(0,(($E$23*$B70/1000000)-$E$28-$E$31)*$E$16)-$E$33-(($E$23*$B70/1000000)*$E$17))/(1+D$68)^3+(($F$23*$B70/1000000)-$F$28-MAX(0,(($F$23*$B70/1000000)-$F$28-$F$31)*$F$16)-$F$33-(($F$23*$B70/1000000)*$F$17))/(1+D$68)^4+(($G$23*$B70/1000000)-$G$28-MAX(0,(($G$23*$B70/1000000)-$G$28-$G$31)*$G$16)-$G$33-(($G$23*$B70/1000000)*$G$17))/(1+D$68)^5+((($G$23*$B70/1000000)-$G$28-MAX(0,(($G$23*$B70/1000000)-$G$28-$C$41)*$G$16)-$C$41)*(1+$C$40)/(D$68-$C$40))/(1+D$68)^5</f>
        <v/>
      </c>
      <c r="E70" s="41">
        <f>(($C$23*$B70/1000000)-$C$28-MAX(0,(($C$23*$B70/1000000)-$C$28-$C$31)*$C$16)-$C$33-(($C$23*$B70/1000000)*$C$17))/(1+E$68)^1+(($D$23*$B70/1000000)-$D$28-MAX(0,(($D$23*$B70/1000000)-$D$28-$D$31)*$D$16)-$D$33-(($D$23*$B70/1000000)*$D$17))/(1+E$68)^2+(($E$23*$B70/1000000)-$E$28-MAX(0,(($E$23*$B70/1000000)-$E$28-$E$31)*$E$16)-$E$33-(($E$23*$B70/1000000)*$E$17))/(1+E$68)^3+(($F$23*$B70/1000000)-$F$28-MAX(0,(($F$23*$B70/1000000)-$F$28-$F$31)*$F$16)-$F$33-(($F$23*$B70/1000000)*$F$17))/(1+E$68)^4+(($G$23*$B70/1000000)-$G$28-MAX(0,(($G$23*$B70/1000000)-$G$28-$G$31)*$G$16)-$G$33-(($G$23*$B70/1000000)*$G$17))/(1+E$68)^5+((($G$23*$B70/1000000)-$G$28-MAX(0,(($G$23*$B70/1000000)-$G$28-$C$41)*$G$16)-$C$41)*(1+$C$40)/(E$68-$C$40))/(1+E$68)^5</f>
        <v/>
      </c>
      <c r="F70" s="41">
        <f>(($C$23*$B70/1000000)-$C$28-MAX(0,(($C$23*$B70/1000000)-$C$28-$C$31)*$C$16)-$C$33-(($C$23*$B70/1000000)*$C$17))/(1+F$68)^1+(($D$23*$B70/1000000)-$D$28-MAX(0,(($D$23*$B70/1000000)-$D$28-$D$31)*$D$16)-$D$33-(($D$23*$B70/1000000)*$D$17))/(1+F$68)^2+(($E$23*$B70/1000000)-$E$28-MAX(0,(($E$23*$B70/1000000)-$E$28-$E$31)*$E$16)-$E$33-(($E$23*$B70/1000000)*$E$17))/(1+F$68)^3+(($F$23*$B70/1000000)-$F$28-MAX(0,(($F$23*$B70/1000000)-$F$28-$F$31)*$F$16)-$F$33-(($F$23*$B70/1000000)*$F$17))/(1+F$68)^4+(($G$23*$B70/1000000)-$G$28-MAX(0,(($G$23*$B70/1000000)-$G$28-$G$31)*$G$16)-$G$33-(($G$23*$B70/1000000)*$G$17))/(1+F$68)^5+((($G$23*$B70/1000000)-$G$28-MAX(0,(($G$23*$B70/1000000)-$G$28-$C$41)*$G$16)-$C$41)*(1+$C$40)/(F$68-$C$40))/(1+F$68)^5</f>
        <v/>
      </c>
      <c r="G70" s="41">
        <f>(($C$23*$B70/1000000)-$C$28-MAX(0,(($C$23*$B70/1000000)-$C$28-$C$31)*$C$16)-$C$33-(($C$23*$B70/1000000)*$C$17))/(1+G$68)^1+(($D$23*$B70/1000000)-$D$28-MAX(0,(($D$23*$B70/1000000)-$D$28-$D$31)*$D$16)-$D$33-(($D$23*$B70/1000000)*$D$17))/(1+G$68)^2+(($E$23*$B70/1000000)-$E$28-MAX(0,(($E$23*$B70/1000000)-$E$28-$E$31)*$E$16)-$E$33-(($E$23*$B70/1000000)*$E$17))/(1+G$68)^3+(($F$23*$B70/1000000)-$F$28-MAX(0,(($F$23*$B70/1000000)-$F$28-$F$31)*$F$16)-$F$33-(($F$23*$B70/1000000)*$F$17))/(1+G$68)^4+(($G$23*$B70/1000000)-$G$28-MAX(0,(($G$23*$B70/1000000)-$G$28-$G$31)*$G$16)-$G$33-(($G$23*$B70/1000000)*$G$17))/(1+G$68)^5+((($G$23*$B70/1000000)-$G$28-MAX(0,(($G$23*$B70/1000000)-$G$28-$C$41)*$G$16)-$C$41)*(1+$C$40)/(G$68-$C$40))/(1+G$68)^5</f>
        <v/>
      </c>
      <c r="H70" s="41">
        <f>(($C$23*$B70/1000000)-$C$28-MAX(0,(($C$23*$B70/1000000)-$C$28-$C$31)*$C$16)-$C$33-(($C$23*$B70/1000000)*$C$17))/(1+H$68)^1+(($D$23*$B70/1000000)-$D$28-MAX(0,(($D$23*$B70/1000000)-$D$28-$D$31)*$D$16)-$D$33-(($D$23*$B70/1000000)*$D$17))/(1+H$68)^2+(($E$23*$B70/1000000)-$E$28-MAX(0,(($E$23*$B70/1000000)-$E$28-$E$31)*$E$16)-$E$33-(($E$23*$B70/1000000)*$E$17))/(1+H$68)^3+(($F$23*$B70/1000000)-$F$28-MAX(0,(($F$23*$B70/1000000)-$F$28-$F$31)*$F$16)-$F$33-(($F$23*$B70/1000000)*$F$17))/(1+H$68)^4+(($G$23*$B70/1000000)-$G$28-MAX(0,(($G$23*$B70/1000000)-$G$28-$G$31)*$G$16)-$G$33-(($G$23*$B70/1000000)*$G$17))/(1+H$68)^5+((($G$23*$B70/1000000)-$G$28-MAX(0,(($G$23*$B70/1000000)-$G$28-$C$41)*$G$16)-$C$41)*(1+$C$40)/(H$68-$C$40))/(1+H$68)^5</f>
        <v/>
      </c>
      <c r="I70" s="50">
        <f>(($C$23*$B70/1000000)-$C$28-MAX(0,(($C$23*$B70/1000000)-$C$28-$C$31)*$C$16)-$C$33-(($C$23*$B70/1000000)*$C$17))/(1+I$68)^1+(($D$23*$B70/1000000)-$D$28-MAX(0,(($D$23*$B70/1000000)-$D$28-$D$31)*$D$16)-$D$33-(($D$23*$B70/1000000)*$D$17))/(1+I$68)^2+(($E$23*$B70/1000000)-$E$28-MAX(0,(($E$23*$B70/1000000)-$E$28-$E$31)*$E$16)-$E$33-(($E$23*$B70/1000000)*$E$17))/(1+I$68)^3+(($F$23*$B70/1000000)-$F$28-MAX(0,(($F$23*$B70/1000000)-$F$28-$F$31)*$F$16)-$F$33-(($F$23*$B70/1000000)*$F$17))/(1+I$68)^4+(($G$23*$B70/1000000)-$G$28-MAX(0,(($G$23*$B70/1000000)-$G$28-$G$31)*$G$16)-$G$33-(($G$23*$B70/1000000)*$G$17))/(1+I$68)^5+((($G$23*$B70/1000000)-$G$28-MAX(0,(($G$23*$B70/1000000)-$G$28-$C$41)*$G$16)-$C$41)*(1+$C$40)/(I$68-$C$40))/(1+I$68)^5</f>
        <v/>
      </c>
    </row>
    <row r="71">
      <c r="A71" s="47" t="inlineStr">
        <is>
          <t>BTC price:</t>
        </is>
      </c>
      <c r="B71" s="49" t="inlineStr">
        <is>
          <t>USER INPUT in row 10. Adjust to your BTC price deck. Sensitivity table below shows DCF EV across BTC price × WACC.</t>
        </is>
      </c>
      <c r="C71" s="41">
        <f>(($C$23*$B71/1000000)-$C$28-MAX(0,(($C$23*$B71/1000000)-$C$28-$C$31)*$C$16)-$C$33-(($C$23*$B71/1000000)*$C$17))/(1+C$68)^1+(($D$23*$B71/1000000)-$D$28-MAX(0,(($D$23*$B71/1000000)-$D$28-$D$31)*$D$16)-$D$33-(($D$23*$B71/1000000)*$D$17))/(1+C$68)^2+(($E$23*$B71/1000000)-$E$28-MAX(0,(($E$23*$B71/1000000)-$E$28-$E$31)*$E$16)-$E$33-(($E$23*$B71/1000000)*$E$17))/(1+C$68)^3+(($F$23*$B71/1000000)-$F$28-MAX(0,(($F$23*$B71/1000000)-$F$28-$F$31)*$F$16)-$F$33-(($F$23*$B71/1000000)*$F$17))/(1+C$68)^4+(($G$23*$B71/1000000)-$G$28-MAX(0,(($G$23*$B71/1000000)-$G$28-$G$31)*$G$16)-$G$33-(($G$23*$B71/1000000)*$G$17))/(1+C$68)^5+((($G$23*$B71/1000000)-$G$28-MAX(0,(($G$23*$B71/1000000)-$G$28-$C$41)*$G$16)-$C$41)*(1+$C$40)/(C$68-$C$40))/(1+C$68)^5</f>
        <v/>
      </c>
      <c r="D71" s="41">
        <f>(($C$23*$B71/1000000)-$C$28-MAX(0,(($C$23*$B71/1000000)-$C$28-$C$31)*$C$16)-$C$33-(($C$23*$B71/1000000)*$C$17))/(1+D$68)^1+(($D$23*$B71/1000000)-$D$28-MAX(0,(($D$23*$B71/1000000)-$D$28-$D$31)*$D$16)-$D$33-(($D$23*$B71/1000000)*$D$17))/(1+D$68)^2+(($E$23*$B71/1000000)-$E$28-MAX(0,(($E$23*$B71/1000000)-$E$28-$E$31)*$E$16)-$E$33-(($E$23*$B71/1000000)*$E$17))/(1+D$68)^3+(($F$23*$B71/1000000)-$F$28-MAX(0,(($F$23*$B71/1000000)-$F$28-$F$31)*$F$16)-$F$33-(($F$23*$B71/1000000)*$F$17))/(1+D$68)^4+(($G$23*$B71/1000000)-$G$28-MAX(0,(($G$23*$B71/1000000)-$G$28-$G$31)*$G$16)-$G$33-(($G$23*$B71/1000000)*$G$17))/(1+D$68)^5+((($G$23*$B71/1000000)-$G$28-MAX(0,(($G$23*$B71/1000000)-$G$28-$C$41)*$G$16)-$C$41)*(1+$C$40)/(D$68-$C$40))/(1+D$68)^5</f>
        <v/>
      </c>
      <c r="E71" s="41">
        <f>(($C$23*$B71/1000000)-$C$28-MAX(0,(($C$23*$B71/1000000)-$C$28-$C$31)*$C$16)-$C$33-(($C$23*$B71/1000000)*$C$17))/(1+E$68)^1+(($D$23*$B71/1000000)-$D$28-MAX(0,(($D$23*$B71/1000000)-$D$28-$D$31)*$D$16)-$D$33-(($D$23*$B71/1000000)*$D$17))/(1+E$68)^2+(($E$23*$B71/1000000)-$E$28-MAX(0,(($E$23*$B71/1000000)-$E$28-$E$31)*$E$16)-$E$33-(($E$23*$B71/1000000)*$E$17))/(1+E$68)^3+(($F$23*$B71/1000000)-$F$28-MAX(0,(($F$23*$B71/1000000)-$F$28-$F$31)*$F$16)-$F$33-(($F$23*$B71/1000000)*$F$17))/(1+E$68)^4+(($G$23*$B71/1000000)-$G$28-MAX(0,(($G$23*$B71/1000000)-$G$28-$G$31)*$G$16)-$G$33-(($G$23*$B71/1000000)*$G$17))/(1+E$68)^5+((($G$23*$B71/1000000)-$G$28-MAX(0,(($G$23*$B71/1000000)-$G$28-$C$41)*$G$16)-$C$41)*(1+$C$40)/(E$68-$C$40))/(1+E$68)^5</f>
        <v/>
      </c>
      <c r="F71" s="41">
        <f>(($C$23*$B71/1000000)-$C$28-MAX(0,(($C$23*$B71/1000000)-$C$28-$C$31)*$C$16)-$C$33-(($C$23*$B71/1000000)*$C$17))/(1+F$68)^1+(($D$23*$B71/1000000)-$D$28-MAX(0,(($D$23*$B71/1000000)-$D$28-$D$31)*$D$16)-$D$33-(($D$23*$B71/1000000)*$D$17))/(1+F$68)^2+(($E$23*$B71/1000000)-$E$28-MAX(0,(($E$23*$B71/1000000)-$E$28-$E$31)*$E$16)-$E$33-(($E$23*$B71/1000000)*$E$17))/(1+F$68)^3+(($F$23*$B71/1000000)-$F$28-MAX(0,(($F$23*$B71/1000000)-$F$28-$F$31)*$F$16)-$F$33-(($F$23*$B71/1000000)*$F$17))/(1+F$68)^4+(($G$23*$B71/1000000)-$G$28-MAX(0,(($G$23*$B71/1000000)-$G$28-$G$31)*$G$16)-$G$33-(($G$23*$B71/1000000)*$G$17))/(1+F$68)^5+((($G$23*$B71/1000000)-$G$28-MAX(0,(($G$23*$B71/1000000)-$G$28-$C$41)*$G$16)-$C$41)*(1+$C$40)/(F$68-$C$40))/(1+F$68)^5</f>
        <v/>
      </c>
      <c r="G71" s="41">
        <f>(($C$23*$B71/1000000)-$C$28-MAX(0,(($C$23*$B71/1000000)-$C$28-$C$31)*$C$16)-$C$33-(($C$23*$B71/1000000)*$C$17))/(1+G$68)^1+(($D$23*$B71/1000000)-$D$28-MAX(0,(($D$23*$B71/1000000)-$D$28-$D$31)*$D$16)-$D$33-(($D$23*$B71/1000000)*$D$17))/(1+G$68)^2+(($E$23*$B71/1000000)-$E$28-MAX(0,(($E$23*$B71/1000000)-$E$28-$E$31)*$E$16)-$E$33-(($E$23*$B71/1000000)*$E$17))/(1+G$68)^3+(($F$23*$B71/1000000)-$F$28-MAX(0,(($F$23*$B71/1000000)-$F$28-$F$31)*$F$16)-$F$33-(($F$23*$B71/1000000)*$F$17))/(1+G$68)^4+(($G$23*$B71/1000000)-$G$28-MAX(0,(($G$23*$B71/1000000)-$G$28-$G$31)*$G$16)-$G$33-(($G$23*$B71/1000000)*$G$17))/(1+G$68)^5+((($G$23*$B71/1000000)-$G$28-MAX(0,(($G$23*$B71/1000000)-$G$28-$C$41)*$G$16)-$C$41)*(1+$C$40)/(G$68-$C$40))/(1+G$68)^5</f>
        <v/>
      </c>
      <c r="H71" s="41">
        <f>(($C$23*$B71/1000000)-$C$28-MAX(0,(($C$23*$B71/1000000)-$C$28-$C$31)*$C$16)-$C$33-(($C$23*$B71/1000000)*$C$17))/(1+H$68)^1+(($D$23*$B71/1000000)-$D$28-MAX(0,(($D$23*$B71/1000000)-$D$28-$D$31)*$D$16)-$D$33-(($D$23*$B71/1000000)*$D$17))/(1+H$68)^2+(($E$23*$B71/1000000)-$E$28-MAX(0,(($E$23*$B71/1000000)-$E$28-$E$31)*$E$16)-$E$33-(($E$23*$B71/1000000)*$E$17))/(1+H$68)^3+(($F$23*$B71/1000000)-$F$28-MAX(0,(($F$23*$B71/1000000)-$F$28-$F$31)*$F$16)-$F$33-(($F$23*$B71/1000000)*$F$17))/(1+H$68)^4+(($G$23*$B71/1000000)-$G$28-MAX(0,(($G$23*$B71/1000000)-$G$28-$G$31)*$G$16)-$G$33-(($G$23*$B71/1000000)*$G$17))/(1+H$68)^5+((($G$23*$B71/1000000)-$G$28-MAX(0,(($G$23*$B71/1000000)-$G$28-$C$41)*$G$16)-$C$41)*(1+$C$40)/(H$68-$C$40))/(1+H$68)^5</f>
        <v/>
      </c>
      <c r="I71" s="50">
        <f>(($C$23*$B71/1000000)-$C$28-MAX(0,(($C$23*$B71/1000000)-$C$28-$C$31)*$C$16)-$C$33-(($C$23*$B71/1000000)*$C$17))/(1+I$68)^1+(($D$23*$B71/1000000)-$D$28-MAX(0,(($D$23*$B71/1000000)-$D$28-$D$31)*$D$16)-$D$33-(($D$23*$B71/1000000)*$D$17))/(1+I$68)^2+(($E$23*$B71/1000000)-$E$28-MAX(0,(($E$23*$B71/1000000)-$E$28-$E$31)*$E$16)-$E$33-(($E$23*$B71/1000000)*$E$17))/(1+I$68)^3+(($F$23*$B71/1000000)-$F$28-MAX(0,(($F$23*$B71/1000000)-$F$28-$F$31)*$F$16)-$F$33-(($F$23*$B71/1000000)*$F$17))/(1+I$68)^4+(($G$23*$B71/1000000)-$G$28-MAX(0,(($G$23*$B71/1000000)-$G$28-$G$31)*$G$16)-$G$33-(($G$23*$B71/1000000)*$G$17))/(1+I$68)^5+((($G$23*$B71/1000000)-$G$28-MAX(0,(($G$23*$B71/1000000)-$G$28-$C$41)*$G$16)-$C$41)*(1+$C$40)/(I$68-$C$40))/(1+I$68)^5</f>
        <v/>
      </c>
    </row>
    <row r="72">
      <c r="A72" s="47" t="inlineStr">
        <is>
          <t>NOL carryforward:</t>
        </is>
      </c>
      <c r="B72" s="49" t="inlineStr">
        <is>
          <t>CIFR has significant NOLs → cash tax may be $0 near-term. Conservative 21% rate used; actual EV may be higher.</t>
        </is>
      </c>
      <c r="C72" s="41">
        <f>(($C$23*$B72/1000000)-$C$28-MAX(0,(($C$23*$B72/1000000)-$C$28-$C$31)*$C$16)-$C$33-(($C$23*$B72/1000000)*$C$17))/(1+C$68)^1+(($D$23*$B72/1000000)-$D$28-MAX(0,(($D$23*$B72/1000000)-$D$28-$D$31)*$D$16)-$D$33-(($D$23*$B72/1000000)*$D$17))/(1+C$68)^2+(($E$23*$B72/1000000)-$E$28-MAX(0,(($E$23*$B72/1000000)-$E$28-$E$31)*$E$16)-$E$33-(($E$23*$B72/1000000)*$E$17))/(1+C$68)^3+(($F$23*$B72/1000000)-$F$28-MAX(0,(($F$23*$B72/1000000)-$F$28-$F$31)*$F$16)-$F$33-(($F$23*$B72/1000000)*$F$17))/(1+C$68)^4+(($G$23*$B72/1000000)-$G$28-MAX(0,(($G$23*$B72/1000000)-$G$28-$G$31)*$G$16)-$G$33-(($G$23*$B72/1000000)*$G$17))/(1+C$68)^5+((($G$23*$B72/1000000)-$G$28-MAX(0,(($G$23*$B72/1000000)-$G$28-$C$41)*$G$16)-$C$41)*(1+$C$40)/(C$68-$C$40))/(1+C$68)^5</f>
        <v/>
      </c>
      <c r="D72" s="41">
        <f>(($C$23*$B72/1000000)-$C$28-MAX(0,(($C$23*$B72/1000000)-$C$28-$C$31)*$C$16)-$C$33-(($C$23*$B72/1000000)*$C$17))/(1+D$68)^1+(($D$23*$B72/1000000)-$D$28-MAX(0,(($D$23*$B72/1000000)-$D$28-$D$31)*$D$16)-$D$33-(($D$23*$B72/1000000)*$D$17))/(1+D$68)^2+(($E$23*$B72/1000000)-$E$28-MAX(0,(($E$23*$B72/1000000)-$E$28-$E$31)*$E$16)-$E$33-(($E$23*$B72/1000000)*$E$17))/(1+D$68)^3+(($F$23*$B72/1000000)-$F$28-MAX(0,(($F$23*$B72/1000000)-$F$28-$F$31)*$F$16)-$F$33-(($F$23*$B72/1000000)*$F$17))/(1+D$68)^4+(($G$23*$B72/1000000)-$G$28-MAX(0,(($G$23*$B72/1000000)-$G$28-$G$31)*$G$16)-$G$33-(($G$23*$B72/1000000)*$G$17))/(1+D$68)^5+((($G$23*$B72/1000000)-$G$28-MAX(0,(($G$23*$B72/1000000)-$G$28-$C$41)*$G$16)-$C$41)*(1+$C$40)/(D$68-$C$40))/(1+D$68)^5</f>
        <v/>
      </c>
      <c r="E72" s="41">
        <f>(($C$23*$B72/1000000)-$C$28-MAX(0,(($C$23*$B72/1000000)-$C$28-$C$31)*$C$16)-$C$33-(($C$23*$B72/1000000)*$C$17))/(1+E$68)^1+(($D$23*$B72/1000000)-$D$28-MAX(0,(($D$23*$B72/1000000)-$D$28-$D$31)*$D$16)-$D$33-(($D$23*$B72/1000000)*$D$17))/(1+E$68)^2+(($E$23*$B72/1000000)-$E$28-MAX(0,(($E$23*$B72/1000000)-$E$28-$E$31)*$E$16)-$E$33-(($E$23*$B72/1000000)*$E$17))/(1+E$68)^3+(($F$23*$B72/1000000)-$F$28-MAX(0,(($F$23*$B72/1000000)-$F$28-$F$31)*$F$16)-$F$33-(($F$23*$B72/1000000)*$F$17))/(1+E$68)^4+(($G$23*$B72/1000000)-$G$28-MAX(0,(($G$23*$B72/1000000)-$G$28-$G$31)*$G$16)-$G$33-(($G$23*$B72/1000000)*$G$17))/(1+E$68)^5+((($G$23*$B72/1000000)-$G$28-MAX(0,(($G$23*$B72/1000000)-$G$28-$C$41)*$G$16)-$C$41)*(1+$C$40)/(E$68-$C$40))/(1+E$68)^5</f>
        <v/>
      </c>
      <c r="F72" s="51">
        <f>(($C$23*$B72/1000000)-$C$28-MAX(0,(($C$23*$B72/1000000)-$C$28-$C$31)*$C$16)-$C$33-(($C$23*$B72/1000000)*$C$17))/(1+F$68)^1+(($D$23*$B72/1000000)-$D$28-MAX(0,(($D$23*$B72/1000000)-$D$28-$D$31)*$D$16)-$D$33-(($D$23*$B72/1000000)*$D$17))/(1+F$68)^2+(($E$23*$B72/1000000)-$E$28-MAX(0,(($E$23*$B72/1000000)-$E$28-$E$31)*$E$16)-$E$33-(($E$23*$B72/1000000)*$E$17))/(1+F$68)^3+(($F$23*$B72/1000000)-$F$28-MAX(0,(($F$23*$B72/1000000)-$F$28-$F$31)*$F$16)-$F$33-(($F$23*$B72/1000000)*$F$17))/(1+F$68)^4+(($G$23*$B72/1000000)-$G$28-MAX(0,(($G$23*$B72/1000000)-$G$28-$G$31)*$G$16)-$G$33-(($G$23*$B72/1000000)*$G$17))/(1+F$68)^5+((($G$23*$B72/1000000)-$G$28-MAX(0,(($G$23*$B72/1000000)-$G$28-$C$41)*$G$16)-$C$41)*(1+$C$40)/(F$68-$C$40))/(1+F$68)^5</f>
        <v/>
      </c>
      <c r="G72" s="41">
        <f>(($C$23*$B72/1000000)-$C$28-MAX(0,(($C$23*$B72/1000000)-$C$28-$C$31)*$C$16)-$C$33-(($C$23*$B72/1000000)*$C$17))/(1+G$68)^1+(($D$23*$B72/1000000)-$D$28-MAX(0,(($D$23*$B72/1000000)-$D$28-$D$31)*$D$16)-$D$33-(($D$23*$B72/1000000)*$D$17))/(1+G$68)^2+(($E$23*$B72/1000000)-$E$28-MAX(0,(($E$23*$B72/1000000)-$E$28-$E$31)*$E$16)-$E$33-(($E$23*$B72/1000000)*$E$17))/(1+G$68)^3+(($F$23*$B72/1000000)-$F$28-MAX(0,(($F$23*$B72/1000000)-$F$28-$F$31)*$F$16)-$F$33-(($F$23*$B72/1000000)*$F$17))/(1+G$68)^4+(($G$23*$B72/1000000)-$G$28-MAX(0,(($G$23*$B72/1000000)-$G$28-$G$31)*$G$16)-$G$33-(($G$23*$B72/1000000)*$G$17))/(1+G$68)^5+((($G$23*$B72/1000000)-$G$28-MAX(0,(($G$23*$B72/1000000)-$G$28-$C$41)*$G$16)-$C$41)*(1+$C$40)/(G$68-$C$40))/(1+G$68)^5</f>
        <v/>
      </c>
      <c r="H72" s="41">
        <f>(($C$23*$B72/1000000)-$C$28-MAX(0,(($C$23*$B72/1000000)-$C$28-$C$31)*$C$16)-$C$33-(($C$23*$B72/1000000)*$C$17))/(1+H$68)^1+(($D$23*$B72/1000000)-$D$28-MAX(0,(($D$23*$B72/1000000)-$D$28-$D$31)*$D$16)-$D$33-(($D$23*$B72/1000000)*$D$17))/(1+H$68)^2+(($E$23*$B72/1000000)-$E$28-MAX(0,(($E$23*$B72/1000000)-$E$28-$E$31)*$E$16)-$E$33-(($E$23*$B72/1000000)*$E$17))/(1+H$68)^3+(($F$23*$B72/1000000)-$F$28-MAX(0,(($F$23*$B72/1000000)-$F$28-$F$31)*$F$16)-$F$33-(($F$23*$B72/1000000)*$F$17))/(1+H$68)^4+(($G$23*$B72/1000000)-$G$28-MAX(0,(($G$23*$B72/1000000)-$G$28-$G$31)*$G$16)-$G$33-(($G$23*$B72/1000000)*$G$17))/(1+H$68)^5+((($G$23*$B72/1000000)-$G$28-MAX(0,(($G$23*$B72/1000000)-$G$28-$C$41)*$G$16)-$C$41)*(1+$C$40)/(H$68-$C$40))/(1+H$68)^5</f>
        <v/>
      </c>
      <c r="I72" s="50">
        <f>(($C$23*$B72/1000000)-$C$28-MAX(0,(($C$23*$B72/1000000)-$C$28-$C$31)*$C$16)-$C$33-(($C$23*$B72/1000000)*$C$17))/(1+I$68)^1+(($D$23*$B72/1000000)-$D$28-MAX(0,(($D$23*$B72/1000000)-$D$28-$D$31)*$D$16)-$D$33-(($D$23*$B72/1000000)*$D$17))/(1+I$68)^2+(($E$23*$B72/1000000)-$E$28-MAX(0,(($E$23*$B72/1000000)-$E$28-$E$31)*$E$16)-$E$33-(($E$23*$B72/1000000)*$E$17))/(1+I$68)^3+(($F$23*$B72/1000000)-$F$28-MAX(0,(($F$23*$B72/1000000)-$F$28-$F$31)*$F$16)-$F$33-(($F$23*$B72/1000000)*$F$17))/(1+I$68)^4+(($G$23*$B72/1000000)-$G$28-MAX(0,(($G$23*$B72/1000000)-$G$28-$G$31)*$G$16)-$G$33-(($G$23*$B72/1000000)*$G$17))/(1+I$68)^5+((($G$23*$B72/1000000)-$G$28-MAX(0,(($G$23*$B72/1000000)-$G$28-$C$41)*$G$16)-$C$41)*(1+$C$40)/(I$68-$C$40))/(1+I$68)^5</f>
        <v/>
      </c>
    </row>
    <row r="73">
      <c r="A73" s="47" t="inlineStr">
        <is>
          <t>Primary valuation:</t>
        </is>
      </c>
      <c r="B73" s="49" t="inlineStr">
        <is>
          <t>HPC/AI data center NPV (signed contracts + pipeline) drives CIFR's equity story. This mining model is a minor building block.</t>
        </is>
      </c>
      <c r="C73" s="41">
        <f>(($C$23*$B73/1000000)-$C$28-MAX(0,(($C$23*$B73/1000000)-$C$28-$C$31)*$C$16)-$C$33-(($C$23*$B73/1000000)*$C$17))/(1+C$68)^1+(($D$23*$B73/1000000)-$D$28-MAX(0,(($D$23*$B73/1000000)-$D$28-$D$31)*$D$16)-$D$33-(($D$23*$B73/1000000)*$D$17))/(1+C$68)^2+(($E$23*$B73/1000000)-$E$28-MAX(0,(($E$23*$B73/1000000)-$E$28-$E$31)*$E$16)-$E$33-(($E$23*$B73/1000000)*$E$17))/(1+C$68)^3+(($F$23*$B73/1000000)-$F$28-MAX(0,(($F$23*$B73/1000000)-$F$28-$F$31)*$F$16)-$F$33-(($F$23*$B73/1000000)*$F$17))/(1+C$68)^4+(($G$23*$B73/1000000)-$G$28-MAX(0,(($G$23*$B73/1000000)-$G$28-$G$31)*$G$16)-$G$33-(($G$23*$B73/1000000)*$G$17))/(1+C$68)^5+((($G$23*$B73/1000000)-$G$28-MAX(0,(($G$23*$B73/1000000)-$G$28-$C$41)*$G$16)-$C$41)*(1+$C$40)/(C$68-$C$40))/(1+C$68)^5</f>
        <v/>
      </c>
      <c r="D73" s="41">
        <f>(($C$23*$B73/1000000)-$C$28-MAX(0,(($C$23*$B73/1000000)-$C$28-$C$31)*$C$16)-$C$33-(($C$23*$B73/1000000)*$C$17))/(1+D$68)^1+(($D$23*$B73/1000000)-$D$28-MAX(0,(($D$23*$B73/1000000)-$D$28-$D$31)*$D$16)-$D$33-(($D$23*$B73/1000000)*$D$17))/(1+D$68)^2+(($E$23*$B73/1000000)-$E$28-MAX(0,(($E$23*$B73/1000000)-$E$28-$E$31)*$E$16)-$E$33-(($E$23*$B73/1000000)*$E$17))/(1+D$68)^3+(($F$23*$B73/1000000)-$F$28-MAX(0,(($F$23*$B73/1000000)-$F$28-$F$31)*$F$16)-$F$33-(($F$23*$B73/1000000)*$F$17))/(1+D$68)^4+(($G$23*$B73/1000000)-$G$28-MAX(0,(($G$23*$B73/1000000)-$G$28-$G$31)*$G$16)-$G$33-(($G$23*$B73/1000000)*$G$17))/(1+D$68)^5+((($G$23*$B73/1000000)-$G$28-MAX(0,(($G$23*$B73/1000000)-$G$28-$C$41)*$G$16)-$C$41)*(1+$C$40)/(D$68-$C$40))/(1+D$68)^5</f>
        <v/>
      </c>
      <c r="E73" s="41">
        <f>(($C$23*$B73/1000000)-$C$28-MAX(0,(($C$23*$B73/1000000)-$C$28-$C$31)*$C$16)-$C$33-(($C$23*$B73/1000000)*$C$17))/(1+E$68)^1+(($D$23*$B73/1000000)-$D$28-MAX(0,(($D$23*$B73/1000000)-$D$28-$D$31)*$D$16)-$D$33-(($D$23*$B73/1000000)*$D$17))/(1+E$68)^2+(($E$23*$B73/1000000)-$E$28-MAX(0,(($E$23*$B73/1000000)-$E$28-$E$31)*$E$16)-$E$33-(($E$23*$B73/1000000)*$E$17))/(1+E$68)^3+(($F$23*$B73/1000000)-$F$28-MAX(0,(($F$23*$B73/1000000)-$F$28-$F$31)*$F$16)-$F$33-(($F$23*$B73/1000000)*$F$17))/(1+E$68)^4+(($G$23*$B73/1000000)-$G$28-MAX(0,(($G$23*$B73/1000000)-$G$28-$G$31)*$G$16)-$G$33-(($G$23*$B73/1000000)*$G$17))/(1+E$68)^5+((($G$23*$B73/1000000)-$G$28-MAX(0,(($G$23*$B73/1000000)-$G$28-$C$41)*$G$16)-$C$41)*(1+$C$40)/(E$68-$C$40))/(1+E$68)^5</f>
        <v/>
      </c>
      <c r="F73" s="41">
        <f>(($C$23*$B73/1000000)-$C$28-MAX(0,(($C$23*$B73/1000000)-$C$28-$C$31)*$C$16)-$C$33-(($C$23*$B73/1000000)*$C$17))/(1+F$68)^1+(($D$23*$B73/1000000)-$D$28-MAX(0,(($D$23*$B73/1000000)-$D$28-$D$31)*$D$16)-$D$33-(($D$23*$B73/1000000)*$D$17))/(1+F$68)^2+(($E$23*$B73/1000000)-$E$28-MAX(0,(($E$23*$B73/1000000)-$E$28-$E$31)*$E$16)-$E$33-(($E$23*$B73/1000000)*$E$17))/(1+F$68)^3+(($F$23*$B73/1000000)-$F$28-MAX(0,(($F$23*$B73/1000000)-$F$28-$F$31)*$F$16)-$F$33-(($F$23*$B73/1000000)*$F$17))/(1+F$68)^4+(($G$23*$B73/1000000)-$G$28-MAX(0,(($G$23*$B73/1000000)-$G$28-$G$31)*$G$16)-$G$33-(($G$23*$B73/1000000)*$G$17))/(1+F$68)^5+((($G$23*$B73/1000000)-$G$28-MAX(0,(($G$23*$B73/1000000)-$G$28-$C$41)*$G$16)-$C$41)*(1+$C$40)/(F$68-$C$40))/(1+F$68)^5</f>
        <v/>
      </c>
      <c r="G73" s="41">
        <f>(($C$23*$B73/1000000)-$C$28-MAX(0,(($C$23*$B73/1000000)-$C$28-$C$31)*$C$16)-$C$33-(($C$23*$B73/1000000)*$C$17))/(1+G$68)^1+(($D$23*$B73/1000000)-$D$28-MAX(0,(($D$23*$B73/1000000)-$D$28-$D$31)*$D$16)-$D$33-(($D$23*$B73/1000000)*$D$17))/(1+G$68)^2+(($E$23*$B73/1000000)-$E$28-MAX(0,(($E$23*$B73/1000000)-$E$28-$E$31)*$E$16)-$E$33-(($E$23*$B73/1000000)*$E$17))/(1+G$68)^3+(($F$23*$B73/1000000)-$F$28-MAX(0,(($F$23*$B73/1000000)-$F$28-$F$31)*$F$16)-$F$33-(($F$23*$B73/1000000)*$F$17))/(1+G$68)^4+(($G$23*$B73/1000000)-$G$28-MAX(0,(($G$23*$B73/1000000)-$G$28-$G$31)*$G$16)-$G$33-(($G$23*$B73/1000000)*$G$17))/(1+G$68)^5+((($G$23*$B73/1000000)-$G$28-MAX(0,(($G$23*$B73/1000000)-$G$28-$C$41)*$G$16)-$C$41)*(1+$C$40)/(G$68-$C$40))/(1+G$68)^5</f>
        <v/>
      </c>
      <c r="H73" s="41">
        <f>(($C$23*$B73/1000000)-$C$28-MAX(0,(($C$23*$B73/1000000)-$C$28-$C$31)*$C$16)-$C$33-(($C$23*$B73/1000000)*$C$17))/(1+H$68)^1+(($D$23*$B73/1000000)-$D$28-MAX(0,(($D$23*$B73/1000000)-$D$28-$D$31)*$D$16)-$D$33-(($D$23*$B73/1000000)*$D$17))/(1+H$68)^2+(($E$23*$B73/1000000)-$E$28-MAX(0,(($E$23*$B73/1000000)-$E$28-$E$31)*$E$16)-$E$33-(($E$23*$B73/1000000)*$E$17))/(1+H$68)^3+(($F$23*$B73/1000000)-$F$28-MAX(0,(($F$23*$B73/1000000)-$F$28-$F$31)*$F$16)-$F$33-(($F$23*$B73/1000000)*$F$17))/(1+H$68)^4+(($G$23*$B73/1000000)-$G$28-MAX(0,(($G$23*$B73/1000000)-$G$28-$G$31)*$G$16)-$G$33-(($G$23*$B73/1000000)*$G$17))/(1+H$68)^5+((($G$23*$B73/1000000)-$G$28-MAX(0,(($G$23*$B73/1000000)-$G$28-$C$41)*$G$16)-$C$41)*(1+$C$40)/(H$68-$C$40))/(1+H$68)^5</f>
        <v/>
      </c>
      <c r="I73" s="50">
        <f>(($C$23*$B73/1000000)-$C$28-MAX(0,(($C$23*$B73/1000000)-$C$28-$C$31)*$C$16)-$C$33-(($C$23*$B73/1000000)*$C$17))/(1+I$68)^1+(($D$23*$B73/1000000)-$D$28-MAX(0,(($D$23*$B73/1000000)-$D$28-$D$31)*$D$16)-$D$33-(($D$23*$B73/1000000)*$D$17))/(1+I$68)^2+(($E$23*$B73/1000000)-$E$28-MAX(0,(($E$23*$B73/1000000)-$E$28-$E$31)*$E$16)-$E$33-(($E$23*$B73/1000000)*$E$17))/(1+I$68)^3+(($F$23*$B73/1000000)-$F$28-MAX(0,(($F$23*$B73/1000000)-$F$28-$F$31)*$F$16)-$F$33-(($F$23*$B73/1000000)*$F$17))/(1+I$68)^4+(($G$23*$B73/1000000)-$G$28-MAX(0,(($G$23*$B73/1000000)-$G$28-$G$31)*$G$16)-$G$33-(($G$23*$B73/1000000)*$G$17))/(1+I$68)^5+((($G$23*$B73/1000000)-$G$28-MAX(0,(($G$23*$B73/1000000)-$G$28-$C$41)*$G$16)-$C$41)*(1+$C$40)/(I$68-$C$40))/(1+I$68)^5</f>
        <v/>
      </c>
    </row>
    <row r="74">
      <c r="B74" s="52" t="n">
        <v>165000</v>
      </c>
      <c r="C74" s="41">
        <f>(($C$23*$B74/1000000)-$C$28-MAX(0,(($C$23*$B74/1000000)-$C$28-$C$31)*$C$16)-$C$33-(($C$23*$B74/1000000)*$C$17))/(1+C$68)^1+(($D$23*$B74/1000000)-$D$28-MAX(0,(($D$23*$B74/1000000)-$D$28-$D$31)*$D$16)-$D$33-(($D$23*$B74/1000000)*$D$17))/(1+C$68)^2+(($E$23*$B74/1000000)-$E$28-MAX(0,(($E$23*$B74/1000000)-$E$28-$E$31)*$E$16)-$E$33-(($E$23*$B74/1000000)*$E$17))/(1+C$68)^3+(($F$23*$B74/1000000)-$F$28-MAX(0,(($F$23*$B74/1000000)-$F$28-$F$31)*$F$16)-$F$33-(($F$23*$B74/1000000)*$F$17))/(1+C$68)^4+(($G$23*$B74/1000000)-$G$28-MAX(0,(($G$23*$B74/1000000)-$G$28-$G$31)*$G$16)-$G$33-(($G$23*$B74/1000000)*$G$17))/(1+C$68)^5+((($G$23*$B74/1000000)-$G$28-MAX(0,(($G$23*$B74/1000000)-$G$28-$C$41)*$G$16)-$C$41)*(1+$C$40)/(C$68-$C$40))/(1+C$68)^5</f>
        <v/>
      </c>
      <c r="D74" s="41">
        <f>(($C$23*$B74/1000000)-$C$28-MAX(0,(($C$23*$B74/1000000)-$C$28-$C$31)*$C$16)-$C$33-(($C$23*$B74/1000000)*$C$17))/(1+D$68)^1+(($D$23*$B74/1000000)-$D$28-MAX(0,(($D$23*$B74/1000000)-$D$28-$D$31)*$D$16)-$D$33-(($D$23*$B74/1000000)*$D$17))/(1+D$68)^2+(($E$23*$B74/1000000)-$E$28-MAX(0,(($E$23*$B74/1000000)-$E$28-$E$31)*$E$16)-$E$33-(($E$23*$B74/1000000)*$E$17))/(1+D$68)^3+(($F$23*$B74/1000000)-$F$28-MAX(0,(($F$23*$B74/1000000)-$F$28-$F$31)*$F$16)-$F$33-(($F$23*$B74/1000000)*$F$17))/(1+D$68)^4+(($G$23*$B74/1000000)-$G$28-MAX(0,(($G$23*$B74/1000000)-$G$28-$G$31)*$G$16)-$G$33-(($G$23*$B74/1000000)*$G$17))/(1+D$68)^5+((($G$23*$B74/1000000)-$G$28-MAX(0,(($G$23*$B74/1000000)-$G$28-$C$41)*$G$16)-$C$41)*(1+$C$40)/(D$68-$C$40))/(1+D$68)^5</f>
        <v/>
      </c>
      <c r="E74" s="41">
        <f>(($C$23*$B74/1000000)-$C$28-MAX(0,(($C$23*$B74/1000000)-$C$28-$C$31)*$C$16)-$C$33-(($C$23*$B74/1000000)*$C$17))/(1+E$68)^1+(($D$23*$B74/1000000)-$D$28-MAX(0,(($D$23*$B74/1000000)-$D$28-$D$31)*$D$16)-$D$33-(($D$23*$B74/1000000)*$D$17))/(1+E$68)^2+(($E$23*$B74/1000000)-$E$28-MAX(0,(($E$23*$B74/1000000)-$E$28-$E$31)*$E$16)-$E$33-(($E$23*$B74/1000000)*$E$17))/(1+E$68)^3+(($F$23*$B74/1000000)-$F$28-MAX(0,(($F$23*$B74/1000000)-$F$28-$F$31)*$F$16)-$F$33-(($F$23*$B74/1000000)*$F$17))/(1+E$68)^4+(($G$23*$B74/1000000)-$G$28-MAX(0,(($G$23*$B74/1000000)-$G$28-$G$31)*$G$16)-$G$33-(($G$23*$B74/1000000)*$G$17))/(1+E$68)^5+((($G$23*$B74/1000000)-$G$28-MAX(0,(($G$23*$B74/1000000)-$G$28-$C$41)*$G$16)-$C$41)*(1+$C$40)/(E$68-$C$40))/(1+E$68)^5</f>
        <v/>
      </c>
      <c r="F74" s="41">
        <f>(($C$23*$B74/1000000)-$C$28-MAX(0,(($C$23*$B74/1000000)-$C$28-$C$31)*$C$16)-$C$33-(($C$23*$B74/1000000)*$C$17))/(1+F$68)^1+(($D$23*$B74/1000000)-$D$28-MAX(0,(($D$23*$B74/1000000)-$D$28-$D$31)*$D$16)-$D$33-(($D$23*$B74/1000000)*$D$17))/(1+F$68)^2+(($E$23*$B74/1000000)-$E$28-MAX(0,(($E$23*$B74/1000000)-$E$28-$E$31)*$E$16)-$E$33-(($E$23*$B74/1000000)*$E$17))/(1+F$68)^3+(($F$23*$B74/1000000)-$F$28-MAX(0,(($F$23*$B74/1000000)-$F$28-$F$31)*$F$16)-$F$33-(($F$23*$B74/1000000)*$F$17))/(1+F$68)^4+(($G$23*$B74/1000000)-$G$28-MAX(0,(($G$23*$B74/1000000)-$G$28-$G$31)*$G$16)-$G$33-(($G$23*$B74/1000000)*$G$17))/(1+F$68)^5+((($G$23*$B74/1000000)-$G$28-MAX(0,(($G$23*$B74/1000000)-$G$28-$C$41)*$G$16)-$C$41)*(1+$C$40)/(F$68-$C$40))/(1+F$68)^5</f>
        <v/>
      </c>
      <c r="G74" s="41">
        <f>(($C$23*$B74/1000000)-$C$28-MAX(0,(($C$23*$B74/1000000)-$C$28-$C$31)*$C$16)-$C$33-(($C$23*$B74/1000000)*$C$17))/(1+G$68)^1+(($D$23*$B74/1000000)-$D$28-MAX(0,(($D$23*$B74/1000000)-$D$28-$D$31)*$D$16)-$D$33-(($D$23*$B74/1000000)*$D$17))/(1+G$68)^2+(($E$23*$B74/1000000)-$E$28-MAX(0,(($E$23*$B74/1000000)-$E$28-$E$31)*$E$16)-$E$33-(($E$23*$B74/1000000)*$E$17))/(1+G$68)^3+(($F$23*$B74/1000000)-$F$28-MAX(0,(($F$23*$B74/1000000)-$F$28-$F$31)*$F$16)-$F$33-(($F$23*$B74/1000000)*$F$17))/(1+G$68)^4+(($G$23*$B74/1000000)-$G$28-MAX(0,(($G$23*$B74/1000000)-$G$28-$G$31)*$G$16)-$G$33-(($G$23*$B74/1000000)*$G$17))/(1+G$68)^5+((($G$23*$B74/1000000)-$G$28-MAX(0,(($G$23*$B74/1000000)-$G$28-$C$41)*$G$16)-$C$41)*(1+$C$40)/(G$68-$C$40))/(1+G$68)^5</f>
        <v/>
      </c>
      <c r="H74" s="41">
        <f>(($C$23*$B74/1000000)-$C$28-MAX(0,(($C$23*$B74/1000000)-$C$28-$C$31)*$C$16)-$C$33-(($C$23*$B74/1000000)*$C$17))/(1+H$68)^1+(($D$23*$B74/1000000)-$D$28-MAX(0,(($D$23*$B74/1000000)-$D$28-$D$31)*$D$16)-$D$33-(($D$23*$B74/1000000)*$D$17))/(1+H$68)^2+(($E$23*$B74/1000000)-$E$28-MAX(0,(($E$23*$B74/1000000)-$E$28-$E$31)*$E$16)-$E$33-(($E$23*$B74/1000000)*$E$17))/(1+H$68)^3+(($F$23*$B74/1000000)-$F$28-MAX(0,(($F$23*$B74/1000000)-$F$28-$F$31)*$F$16)-$F$33-(($F$23*$B74/1000000)*$F$17))/(1+H$68)^4+(($G$23*$B74/1000000)-$G$28-MAX(0,(($G$23*$B74/1000000)-$G$28-$G$31)*$G$16)-$G$33-(($G$23*$B74/1000000)*$G$17))/(1+H$68)^5+((($G$23*$B74/1000000)-$G$28-MAX(0,(($G$23*$B74/1000000)-$G$28-$C$41)*$G$16)-$C$41)*(1+$C$40)/(H$68-$C$40))/(1+H$68)^5</f>
        <v/>
      </c>
      <c r="I74" s="50">
        <f>(($C$23*$B74/1000000)-$C$28-MAX(0,(($C$23*$B74/1000000)-$C$28-$C$31)*$C$16)-$C$33-(($C$23*$B74/1000000)*$C$17))/(1+I$68)^1+(($D$23*$B74/1000000)-$D$28-MAX(0,(($D$23*$B74/1000000)-$D$28-$D$31)*$D$16)-$D$33-(($D$23*$B74/1000000)*$D$17))/(1+I$68)^2+(($E$23*$B74/1000000)-$E$28-MAX(0,(($E$23*$B74/1000000)-$E$28-$E$31)*$E$16)-$E$33-(($E$23*$B74/1000000)*$E$17))/(1+I$68)^3+(($F$23*$B74/1000000)-$F$28-MAX(0,(($F$23*$B74/1000000)-$F$28-$F$31)*$F$16)-$F$33-(($F$23*$B74/1000000)*$F$17))/(1+I$68)^4+(($G$23*$B74/1000000)-$G$28-MAX(0,(($G$23*$B74/1000000)-$G$28-$G$31)*$G$16)-$G$33-(($G$23*$B74/1000000)*$G$17))/(1+I$68)^5+((($G$23*$B74/1000000)-$G$28-MAX(0,(($G$23*$B74/1000000)-$G$28-$C$41)*$G$16)-$C$41)*(1+$C$40)/(I$68-$C$40))/(1+I$68)^5</f>
        <v/>
      </c>
    </row>
    <row r="75">
      <c r="B75" s="52" t="n">
        <v>180000</v>
      </c>
      <c r="C75" s="41">
        <f>(($C$23*$B75/1000000)-$C$28-MAX(0,(($C$23*$B75/1000000)-$C$28-$C$31)*$C$16)-$C$33-(($C$23*$B75/1000000)*$C$17))/(1+C$68)^1+(($D$23*$B75/1000000)-$D$28-MAX(0,(($D$23*$B75/1000000)-$D$28-$D$31)*$D$16)-$D$33-(($D$23*$B75/1000000)*$D$17))/(1+C$68)^2+(($E$23*$B75/1000000)-$E$28-MAX(0,(($E$23*$B75/1000000)-$E$28-$E$31)*$E$16)-$E$33-(($E$23*$B75/1000000)*$E$17))/(1+C$68)^3+(($F$23*$B75/1000000)-$F$28-MAX(0,(($F$23*$B75/1000000)-$F$28-$F$31)*$F$16)-$F$33-(($F$23*$B75/1000000)*$F$17))/(1+C$68)^4+(($G$23*$B75/1000000)-$G$28-MAX(0,(($G$23*$B75/1000000)-$G$28-$G$31)*$G$16)-$G$33-(($G$23*$B75/1000000)*$G$17))/(1+C$68)^5+((($G$23*$B75/1000000)-$G$28-MAX(0,(($G$23*$B75/1000000)-$G$28-$C$41)*$G$16)-$C$41)*(1+$C$40)/(C$68-$C$40))/(1+C$68)^5</f>
        <v/>
      </c>
      <c r="D75" s="41">
        <f>(($C$23*$B75/1000000)-$C$28-MAX(0,(($C$23*$B75/1000000)-$C$28-$C$31)*$C$16)-$C$33-(($C$23*$B75/1000000)*$C$17))/(1+D$68)^1+(($D$23*$B75/1000000)-$D$28-MAX(0,(($D$23*$B75/1000000)-$D$28-$D$31)*$D$16)-$D$33-(($D$23*$B75/1000000)*$D$17))/(1+D$68)^2+(($E$23*$B75/1000000)-$E$28-MAX(0,(($E$23*$B75/1000000)-$E$28-$E$31)*$E$16)-$E$33-(($E$23*$B75/1000000)*$E$17))/(1+D$68)^3+(($F$23*$B75/1000000)-$F$28-MAX(0,(($F$23*$B75/1000000)-$F$28-$F$31)*$F$16)-$F$33-(($F$23*$B75/1000000)*$F$17))/(1+D$68)^4+(($G$23*$B75/1000000)-$G$28-MAX(0,(($G$23*$B75/1000000)-$G$28-$G$31)*$G$16)-$G$33-(($G$23*$B75/1000000)*$G$17))/(1+D$68)^5+((($G$23*$B75/1000000)-$G$28-MAX(0,(($G$23*$B75/1000000)-$G$28-$C$41)*$G$16)-$C$41)*(1+$C$40)/(D$68-$C$40))/(1+D$68)^5</f>
        <v/>
      </c>
      <c r="E75" s="41">
        <f>(($C$23*$B75/1000000)-$C$28-MAX(0,(($C$23*$B75/1000000)-$C$28-$C$31)*$C$16)-$C$33-(($C$23*$B75/1000000)*$C$17))/(1+E$68)^1+(($D$23*$B75/1000000)-$D$28-MAX(0,(($D$23*$B75/1000000)-$D$28-$D$31)*$D$16)-$D$33-(($D$23*$B75/1000000)*$D$17))/(1+E$68)^2+(($E$23*$B75/1000000)-$E$28-MAX(0,(($E$23*$B75/1000000)-$E$28-$E$31)*$E$16)-$E$33-(($E$23*$B75/1000000)*$E$17))/(1+E$68)^3+(($F$23*$B75/1000000)-$F$28-MAX(0,(($F$23*$B75/1000000)-$F$28-$F$31)*$F$16)-$F$33-(($F$23*$B75/1000000)*$F$17))/(1+E$68)^4+(($G$23*$B75/1000000)-$G$28-MAX(0,(($G$23*$B75/1000000)-$G$28-$G$31)*$G$16)-$G$33-(($G$23*$B75/1000000)*$G$17))/(1+E$68)^5+((($G$23*$B75/1000000)-$G$28-MAX(0,(($G$23*$B75/1000000)-$G$28-$C$41)*$G$16)-$C$41)*(1+$C$40)/(E$68-$C$40))/(1+E$68)^5</f>
        <v/>
      </c>
      <c r="F75" s="41">
        <f>(($C$23*$B75/1000000)-$C$28-MAX(0,(($C$23*$B75/1000000)-$C$28-$C$31)*$C$16)-$C$33-(($C$23*$B75/1000000)*$C$17))/(1+F$68)^1+(($D$23*$B75/1000000)-$D$28-MAX(0,(($D$23*$B75/1000000)-$D$28-$D$31)*$D$16)-$D$33-(($D$23*$B75/1000000)*$D$17))/(1+F$68)^2+(($E$23*$B75/1000000)-$E$28-MAX(0,(($E$23*$B75/1000000)-$E$28-$E$31)*$E$16)-$E$33-(($E$23*$B75/1000000)*$E$17))/(1+F$68)^3+(($F$23*$B75/1000000)-$F$28-MAX(0,(($F$23*$B75/1000000)-$F$28-$F$31)*$F$16)-$F$33-(($F$23*$B75/1000000)*$F$17))/(1+F$68)^4+(($G$23*$B75/1000000)-$G$28-MAX(0,(($G$23*$B75/1000000)-$G$28-$G$31)*$G$16)-$G$33-(($G$23*$B75/1000000)*$G$17))/(1+F$68)^5+((($G$23*$B75/1000000)-$G$28-MAX(0,(($G$23*$B75/1000000)-$G$28-$C$41)*$G$16)-$C$41)*(1+$C$40)/(F$68-$C$40))/(1+F$68)^5</f>
        <v/>
      </c>
      <c r="G75" s="41">
        <f>(($C$23*$B75/1000000)-$C$28-MAX(0,(($C$23*$B75/1000000)-$C$28-$C$31)*$C$16)-$C$33-(($C$23*$B75/1000000)*$C$17))/(1+G$68)^1+(($D$23*$B75/1000000)-$D$28-MAX(0,(($D$23*$B75/1000000)-$D$28-$D$31)*$D$16)-$D$33-(($D$23*$B75/1000000)*$D$17))/(1+G$68)^2+(($E$23*$B75/1000000)-$E$28-MAX(0,(($E$23*$B75/1000000)-$E$28-$E$31)*$E$16)-$E$33-(($E$23*$B75/1000000)*$E$17))/(1+G$68)^3+(($F$23*$B75/1000000)-$F$28-MAX(0,(($F$23*$B75/1000000)-$F$28-$F$31)*$F$16)-$F$33-(($F$23*$B75/1000000)*$F$17))/(1+G$68)^4+(($G$23*$B75/1000000)-$G$28-MAX(0,(($G$23*$B75/1000000)-$G$28-$G$31)*$G$16)-$G$33-(($G$23*$B75/1000000)*$G$17))/(1+G$68)^5+((($G$23*$B75/1000000)-$G$28-MAX(0,(($G$23*$B75/1000000)-$G$28-$C$41)*$G$16)-$C$41)*(1+$C$40)/(G$68-$C$40))/(1+G$68)^5</f>
        <v/>
      </c>
      <c r="H75" s="41">
        <f>(($C$23*$B75/1000000)-$C$28-MAX(0,(($C$23*$B75/1000000)-$C$28-$C$31)*$C$16)-$C$33-(($C$23*$B75/1000000)*$C$17))/(1+H$68)^1+(($D$23*$B75/1000000)-$D$28-MAX(0,(($D$23*$B75/1000000)-$D$28-$D$31)*$D$16)-$D$33-(($D$23*$B75/1000000)*$D$17))/(1+H$68)^2+(($E$23*$B75/1000000)-$E$28-MAX(0,(($E$23*$B75/1000000)-$E$28-$E$31)*$E$16)-$E$33-(($E$23*$B75/1000000)*$E$17))/(1+H$68)^3+(($F$23*$B75/1000000)-$F$28-MAX(0,(($F$23*$B75/1000000)-$F$28-$F$31)*$F$16)-$F$33-(($F$23*$B75/1000000)*$F$17))/(1+H$68)^4+(($G$23*$B75/1000000)-$G$28-MAX(0,(($G$23*$B75/1000000)-$G$28-$G$31)*$G$16)-$G$33-(($G$23*$B75/1000000)*$G$17))/(1+H$68)^5+((($G$23*$B75/1000000)-$G$28-MAX(0,(($G$23*$B75/1000000)-$G$28-$C$41)*$G$16)-$C$41)*(1+$C$40)/(H$68-$C$40))/(1+H$68)^5</f>
        <v/>
      </c>
      <c r="I75" s="50">
        <f>(($C$23*$B75/1000000)-$C$28-MAX(0,(($C$23*$B75/1000000)-$C$28-$C$31)*$C$16)-$C$33-(($C$23*$B75/1000000)*$C$17))/(1+I$68)^1+(($D$23*$B75/1000000)-$D$28-MAX(0,(($D$23*$B75/1000000)-$D$28-$D$31)*$D$16)-$D$33-(($D$23*$B75/1000000)*$D$17))/(1+I$68)^2+(($E$23*$B75/1000000)-$E$28-MAX(0,(($E$23*$B75/1000000)-$E$28-$E$31)*$E$16)-$E$33-(($E$23*$B75/1000000)*$E$17))/(1+I$68)^3+(($F$23*$B75/1000000)-$F$28-MAX(0,(($F$23*$B75/1000000)-$F$28-$F$31)*$F$16)-$F$33-(($F$23*$B75/1000000)*$F$17))/(1+I$68)^4+(($G$23*$B75/1000000)-$G$28-MAX(0,(($G$23*$B75/1000000)-$G$28-$G$31)*$G$16)-$G$33-(($G$23*$B75/1000000)*$G$17))/(1+I$68)^5+((($G$23*$B75/1000000)-$G$28-MAX(0,(($G$23*$B75/1000000)-$G$28-$C$41)*$G$16)-$C$41)*(1+$C$40)/(I$68-$C$40))/(1+I$68)^5</f>
        <v/>
      </c>
    </row>
  </sheetData>
  <conditionalFormatting sqref="C69:I7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2026-06-27T04:48:45Z</dcterms:created>
  <dcterms:modified xsi:type="dcterms:W3CDTF">2026-06-27T08:42:36Z</dcterms:modified>
  <cp:lastModifiedBy>Jihyun Song</cp:lastModifiedBy>
</cp:coreProperties>
</file>