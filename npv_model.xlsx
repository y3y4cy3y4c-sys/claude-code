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PV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0"/>
    <numFmt numFmtId="165" formatCode="#,##0.0&quot;mm&quot;"/>
    <numFmt numFmtId="166" formatCode="0.0%"/>
    <numFmt numFmtId="167" formatCode="&quot;×&quot;#,##0.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FFD966"/>
      <sz val="9"/>
    </font>
    <font>
      <name val="Calibri"/>
      <b val="1"/>
      <color rgb="00000000"/>
      <sz val="9"/>
    </font>
    <font>
      <name val="Calibri"/>
      <i val="1"/>
      <color rgb="00595959"/>
      <sz val="8"/>
    </font>
    <font>
      <name val="Calibri"/>
      <color rgb="00000000"/>
      <sz val="9"/>
    </font>
    <font>
      <name val="Calibri"/>
      <i val="1"/>
      <color rgb="00FFFFFF"/>
      <sz val="8"/>
    </font>
    <font>
      <name val="Calibri"/>
      <color rgb="001A6630"/>
      <sz val="9"/>
    </font>
    <font>
      <name val="Calibr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EAA"/>
      </patternFill>
    </fill>
    <fill>
      <patternFill patternType="solid">
        <fgColor rgb="00BDD7EE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9DC3E6"/>
      </patternFill>
    </fill>
    <fill>
      <patternFill patternType="solid">
        <fgColor rgb="00F4B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/>
    </xf>
    <xf numFmtId="0" fontId="7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7" fillId="7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center" vertical="center"/>
    </xf>
    <xf numFmtId="164" fontId="7" fillId="5" borderId="0" applyAlignment="1" pivotButton="0" quotePrefix="0" xfId="0">
      <alignment horizontal="center" vertical="center"/>
    </xf>
    <xf numFmtId="165" fontId="7" fillId="5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5" fontId="9" fillId="8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center" vertical="center"/>
    </xf>
    <xf numFmtId="3" fontId="9" fillId="8" borderId="0" applyAlignment="1" pivotButton="0" quotePrefix="0" xfId="0">
      <alignment horizontal="center" vertical="center"/>
    </xf>
    <xf numFmtId="167" fontId="9" fillId="8" borderId="0" applyAlignment="1" pivotButton="0" quotePrefix="0" xfId="0">
      <alignment horizontal="center" vertical="center"/>
    </xf>
    <xf numFmtId="166" fontId="9" fillId="8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165" fontId="7" fillId="6" borderId="0" applyAlignment="1" pivotButton="0" quotePrefix="0" xfId="0">
      <alignment horizontal="center" vertical="center"/>
    </xf>
    <xf numFmtId="0" fontId="5" fillId="9" borderId="0" applyAlignment="1" pivotButton="0" quotePrefix="0" xfId="0">
      <alignment horizontal="left" vertical="center"/>
    </xf>
    <xf numFmtId="165" fontId="5" fillId="9" borderId="0" applyAlignment="1" pivotButton="0" quotePrefix="0" xfId="0">
      <alignment horizontal="center" vertical="center"/>
    </xf>
    <xf numFmtId="165" fontId="5" fillId="4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left" vertical="center"/>
    </xf>
    <xf numFmtId="165" fontId="5" fillId="8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center" vertical="center"/>
    </xf>
    <xf numFmtId="165" fontId="5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3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18" customWidth="1" min="11" max="11"/>
  </cols>
  <sheetData>
    <row r="1" ht="28" customHeight="1">
      <c r="A1" s="1" t="n"/>
      <c r="B1" s="2" t="inlineStr">
        <is>
          <t>HPC DATA CENTER  —  NPV MODEL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4" customHeight="1">
      <c r="A2" s="3" t="n"/>
      <c r="B2" s="4" t="inlineStr">
        <is>
          <t>CIFR (Cipher Digital) — 3 Signed Projects + 3 Pipeline Sites  |  Base Year: 2026  |  All figures in $mm USD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4" ht="10" customHeight="1"/>
    <row r="5" ht="20" customHeight="1">
      <c r="B5" s="5" t="inlineStr">
        <is>
          <t>PROJECT</t>
        </is>
      </c>
      <c r="D5" s="6" t="inlineStr">
        <is>
          <t>Project 1</t>
        </is>
      </c>
      <c r="E5" s="6" t="inlineStr">
        <is>
          <t>Project 2</t>
        </is>
      </c>
      <c r="F5" s="6" t="inlineStr">
        <is>
          <t>Project 3</t>
        </is>
      </c>
      <c r="G5" s="6" t="inlineStr">
        <is>
          <t>Project 4</t>
        </is>
      </c>
      <c r="H5" s="6" t="inlineStr">
        <is>
          <t>Project 5</t>
        </is>
      </c>
      <c r="I5" s="6" t="inlineStr">
        <is>
          <t>Project 6</t>
        </is>
      </c>
      <c r="J5" s="5" t="inlineStr">
        <is>
          <t>NOTES</t>
        </is>
      </c>
    </row>
    <row r="6" ht="18" customHeight="1">
      <c r="B6" s="7" t="inlineStr">
        <is>
          <t>Project Type</t>
        </is>
      </c>
      <c r="D6" s="8" t="inlineStr">
        <is>
          <t>Colo</t>
        </is>
      </c>
      <c r="E6" s="8" t="inlineStr">
        <is>
          <t>Colo</t>
        </is>
      </c>
      <c r="F6" s="8" t="inlineStr">
        <is>
          <t>Colo</t>
        </is>
      </c>
      <c r="G6" s="8" t="inlineStr">
        <is>
          <t>Colo</t>
        </is>
      </c>
      <c r="H6" s="8" t="inlineStr">
        <is>
          <t>Colo</t>
        </is>
      </c>
      <c r="I6" s="8" t="inlineStr">
        <is>
          <t>Colo</t>
        </is>
      </c>
      <c r="J6" s="9" t="inlineStr">
        <is>
          <t>Type: "Colo" or "Cloud"</t>
        </is>
      </c>
    </row>
    <row r="7" ht="16" customHeight="1">
      <c r="B7" s="7" t="inlineStr">
        <is>
          <t>Company</t>
        </is>
      </c>
      <c r="D7" s="8" t="inlineStr">
        <is>
          <t>CIFR</t>
        </is>
      </c>
      <c r="E7" s="8" t="inlineStr">
        <is>
          <t>CIFR</t>
        </is>
      </c>
      <c r="F7" s="8" t="inlineStr">
        <is>
          <t>CIFR</t>
        </is>
      </c>
      <c r="G7" s="8" t="inlineStr">
        <is>
          <t>CIFR</t>
        </is>
      </c>
      <c r="H7" s="8" t="inlineStr">
        <is>
          <t>CIFR</t>
        </is>
      </c>
      <c r="I7" s="8" t="inlineStr">
        <is>
          <t>CIFR</t>
        </is>
      </c>
    </row>
    <row r="8" ht="16" customHeight="1">
      <c r="B8" s="7" t="inlineStr">
        <is>
          <t>Project Name</t>
        </is>
      </c>
      <c r="D8" s="8" t="inlineStr">
        <is>
          <t>Barber Lake (Fluidstack)</t>
        </is>
      </c>
      <c r="E8" s="8" t="inlineStr">
        <is>
          <t>Black Pearl (AWS)</t>
        </is>
      </c>
      <c r="F8" s="8" t="inlineStr">
        <is>
          <t>Stingray (AWS)</t>
        </is>
      </c>
      <c r="G8" s="8" t="inlineStr">
        <is>
          <t>Colchis (W. Texas)</t>
        </is>
      </c>
      <c r="H8" s="8" t="inlineStr">
        <is>
          <t>Ulysses (Ohio)</t>
        </is>
      </c>
      <c r="I8" s="8" t="inlineStr">
        <is>
          <t>McLennan (Central TX)</t>
        </is>
      </c>
    </row>
    <row r="9" ht="16" customHeight="1">
      <c r="B9" s="10" t="inlineStr">
        <is>
          <t>Status</t>
        </is>
      </c>
      <c r="D9" s="11" t="inlineStr">
        <is>
          <t>Signed 10-yr NNN; Fluidstack/Google-backed; Phase I Sep 2026 → full ramp Jan 2027</t>
        </is>
      </c>
      <c r="E9" s="11" t="inlineStr">
        <is>
          <t>Signed 15-yr NNN; Amazon Data Services; Phase I Q4 2026 → full ramp Q1 2027</t>
        </is>
      </c>
      <c r="F9" s="11" t="inlineStr">
        <is>
          <t>Signed long-term NNN; Amazon Data Services; earthwork+substation Q1 2026; H1 2026 COD</t>
        </is>
      </c>
      <c r="G9" s="11" t="inlineStr">
        <is>
          <t>Pipeline; 1 GW site; majority JV stake; AEP dual interconnect executed; no lease signed</t>
        </is>
      </c>
      <c r="H9" s="11" t="inlineStr">
        <is>
          <t>Pipeline; site acquired Dec 2025; AEP Ohio / future PJM; Q4 2027 est.</t>
        </is>
      </c>
      <c r="I9" s="11" t="inlineStr">
        <is>
          <t>Pipeline; option exercised Feb 2026; ERCOT interconnect queue; est. 2028</t>
        </is>
      </c>
    </row>
    <row r="11" ht="18" customHeight="1">
      <c r="B11" s="12" t="inlineStr">
        <is>
          <t xml:space="preserve">  ▸  A.  REVENUE INPUTS</t>
        </is>
      </c>
      <c r="D11" s="3" t="n"/>
      <c r="E11" s="3" t="n"/>
      <c r="F11" s="3" t="n"/>
      <c r="G11" s="3" t="n"/>
      <c r="H11" s="3" t="n"/>
      <c r="I11" s="3" t="n"/>
      <c r="J11" s="13" t="inlineStr">
        <is>
          <t>Fill yellow cells. Green cells = auto-calculated.</t>
        </is>
      </c>
    </row>
    <row r="12" ht="15" customHeight="1">
      <c r="B12" s="14" t="inlineStr">
        <is>
          <t>Critical IT Load (MW)</t>
        </is>
      </c>
      <c r="D12" s="15" t="n">
        <v>207</v>
      </c>
      <c r="E12" s="15" t="n">
        <v>216</v>
      </c>
      <c r="F12" s="15" t="n">
        <v>70</v>
      </c>
      <c r="G12" s="15" t="n">
        <v>500</v>
      </c>
      <c r="H12" s="15" t="n">
        <v>200</v>
      </c>
      <c r="I12" s="15" t="n">
        <v>500</v>
      </c>
      <c r="J12" s="9" t="inlineStr">
        <is>
          <t>Net MW for colocation; or leave blank for Cloud</t>
        </is>
      </c>
    </row>
    <row r="13" ht="15" customHeight="1">
      <c r="B13" s="14" t="inlineStr">
        <is>
          <t>Revenue per Watt per Year ($/W/yr)</t>
        </is>
      </c>
      <c r="D13" s="16" t="n"/>
      <c r="E13" s="16" t="n"/>
      <c r="F13" s="16" t="n"/>
      <c r="G13" s="16" t="n">
        <v>1.5</v>
      </c>
      <c r="H13" s="16" t="n">
        <v>1.5</v>
      </c>
      <c r="I13" s="16" t="n">
        <v>1.5</v>
      </c>
      <c r="J13" s="9" t="inlineStr">
        <is>
          <t>Colo: ~$1.50–1.65/W/yr  |  Cloud: leave blank</t>
        </is>
      </c>
    </row>
    <row r="14" ht="15" customHeight="1">
      <c r="B14" s="14" t="inlineStr">
        <is>
          <t>Contracted ARR ($mm/yr)</t>
        </is>
      </c>
      <c r="D14" s="17" t="n">
        <v>383</v>
      </c>
      <c r="E14" s="17" t="n">
        <v>367</v>
      </c>
      <c r="F14" s="17" t="n">
        <v>137</v>
      </c>
      <c r="G14" s="17" t="n"/>
      <c r="H14" s="17" t="n"/>
      <c r="I14" s="17" t="n"/>
      <c r="J14" s="9" t="inlineStr">
        <is>
          <t>Cloud projects: enter annual contracted revenue here</t>
        </is>
      </c>
    </row>
    <row r="15" ht="15" customHeight="1">
      <c r="B15" s="18" t="inlineStr">
        <is>
          <t xml:space="preserve">  Annual Revenue ($mm/yr)</t>
        </is>
      </c>
      <c r="D15" s="19">
        <f>IF(D12*D13&lt;&gt;0,D12*D13,IF(D14&lt;&gt;"",D14,0))</f>
        <v/>
      </c>
      <c r="E15" s="19">
        <f>IF(E12*E13&lt;&gt;0,E12*E13,IF(E14&lt;&gt;"",E14,0))</f>
        <v/>
      </c>
      <c r="F15" s="19">
        <f>IF(F12*F13&lt;&gt;0,F12*F13,IF(F14&lt;&gt;"",F14,0))</f>
        <v/>
      </c>
      <c r="G15" s="19">
        <f>IF(G12*G13&lt;&gt;0,G12*G13,IF(G14&lt;&gt;"",G14,0))</f>
        <v/>
      </c>
      <c r="H15" s="19">
        <f>IF(H12*H13&lt;&gt;0,H12*H13,IF(H14&lt;&gt;"",H14,0))</f>
        <v/>
      </c>
      <c r="I15" s="19">
        <f>IF(I12*I13&lt;&gt;0,I12*I13,IF(I14&lt;&gt;"",I14,0))</f>
        <v/>
      </c>
      <c r="J15" s="9">
        <f>MW × $/W/yr  OR  =ARR (whichever applies)</f>
        <v/>
      </c>
    </row>
    <row r="16" ht="15" customHeight="1">
      <c r="B16" s="14" t="inlineStr">
        <is>
          <t>Utilization Rate (%)</t>
        </is>
      </c>
      <c r="D16" s="20" t="n">
        <v>1</v>
      </c>
      <c r="E16" s="20" t="n">
        <v>1</v>
      </c>
      <c r="F16" s="20" t="n">
        <v>1</v>
      </c>
      <c r="G16" s="20" t="n">
        <v>1</v>
      </c>
      <c r="H16" s="20" t="n">
        <v>1</v>
      </c>
      <c r="I16" s="20" t="n">
        <v>1</v>
      </c>
      <c r="J16" s="9" t="inlineStr">
        <is>
          <t>Cloud only. Colo: enter 100%</t>
        </is>
      </c>
    </row>
    <row r="17" ht="15" customHeight="1">
      <c r="B17" s="18" t="inlineStr">
        <is>
          <t xml:space="preserve">  Realized Revenue ($mm/yr)</t>
        </is>
      </c>
      <c r="D17" s="19">
        <f>IF(D16&lt;&gt;"",D15*D16,D15)</f>
        <v/>
      </c>
      <c r="E17" s="19">
        <f>IF(E16&lt;&gt;"",E15*E16,E15)</f>
        <v/>
      </c>
      <c r="F17" s="19">
        <f>IF(F16&lt;&gt;"",F15*F16,F15)</f>
        <v/>
      </c>
      <c r="G17" s="19">
        <f>IF(G16&lt;&gt;"",G15*G16,G15)</f>
        <v/>
      </c>
      <c r="H17" s="19">
        <f>IF(H16&lt;&gt;"",H15*H16,H15)</f>
        <v/>
      </c>
      <c r="I17" s="19">
        <f>IF(I16&lt;&gt;"",I15*I16,I15)</f>
        <v/>
      </c>
      <c r="J17" s="9">
        <f> Annual Revenue × Utilization</f>
        <v/>
      </c>
    </row>
    <row r="18" ht="15" customHeight="1">
      <c r="B18" s="14" t="inlineStr">
        <is>
          <t>NOI / EBITDA Margin (%)</t>
        </is>
      </c>
      <c r="D18" s="20" t="n">
        <v>0.85</v>
      </c>
      <c r="E18" s="20" t="n">
        <v>0.85</v>
      </c>
      <c r="F18" s="20" t="n">
        <v>0.85</v>
      </c>
      <c r="G18" s="20" t="n">
        <v>0.85</v>
      </c>
      <c r="H18" s="20" t="n">
        <v>0.85</v>
      </c>
      <c r="I18" s="20" t="n">
        <v>0.85</v>
      </c>
      <c r="J18" s="9" t="inlineStr">
        <is>
          <t>Colo NNN: ~85%  |  Cloud: compute from inputs below</t>
        </is>
      </c>
    </row>
    <row r="19" ht="15" customHeight="1">
      <c r="B19" s="18" t="inlineStr">
        <is>
          <t xml:space="preserve">  Annual NOI / EBITDA ($mm/yr)</t>
        </is>
      </c>
      <c r="D19" s="19">
        <f>D17*D18</f>
        <v/>
      </c>
      <c r="E19" s="19">
        <f>E17*E18</f>
        <v/>
      </c>
      <c r="F19" s="19">
        <f>F17*F18</f>
        <v/>
      </c>
      <c r="G19" s="19">
        <f>G17*G18</f>
        <v/>
      </c>
      <c r="H19" s="19">
        <f>H17*H18</f>
        <v/>
      </c>
      <c r="I19" s="19">
        <f>I17*I18</f>
        <v/>
      </c>
      <c r="J19" s="9">
        <f> Realized Revenue × Margin</f>
        <v/>
      </c>
    </row>
    <row r="21" ht="18" customHeight="1">
      <c r="B21" s="12" t="inlineStr">
        <is>
          <t xml:space="preserve">  ▸  B.  CLOUD COST INPUTS  (IREN-style only; leave blank for Colo)</t>
        </is>
      </c>
      <c r="D21" s="3" t="n"/>
      <c r="E21" s="3" t="n"/>
      <c r="F21" s="3" t="n"/>
      <c r="G21" s="3" t="n"/>
      <c r="H21" s="3" t="n"/>
      <c r="I21" s="3" t="n"/>
      <c r="J21" s="13" t="inlineStr"/>
    </row>
    <row r="22" ht="15" customHeight="1">
      <c r="B22" s="14" t="inlineStr">
        <is>
          <t xml:space="preserve">  Power Cost ($mm/yr)</t>
        </is>
      </c>
      <c r="D22" s="17" t="n"/>
      <c r="E22" s="17" t="n"/>
      <c r="F22" s="17" t="n"/>
      <c r="G22" s="17" t="n"/>
      <c r="H22" s="17" t="n"/>
      <c r="I22" s="17" t="n"/>
      <c r="J22" s="9" t="inlineStr">
        <is>
          <t>Cloud: est. from MW × $/kWh</t>
        </is>
      </c>
    </row>
    <row r="23" ht="15" customHeight="1">
      <c r="B23" s="14" t="inlineStr">
        <is>
          <t xml:space="preserve">  DC Opex ($mm/yr)</t>
        </is>
      </c>
      <c r="D23" s="17" t="n"/>
      <c r="E23" s="17" t="n"/>
      <c r="F23" s="17" t="n"/>
      <c r="G23" s="17" t="n"/>
      <c r="H23" s="17" t="n"/>
      <c r="I23" s="17" t="n"/>
      <c r="J23" s="9" t="inlineStr"/>
    </row>
    <row r="24" ht="15" customHeight="1">
      <c r="B24" s="14" t="inlineStr">
        <is>
          <t xml:space="preserve">  Software &amp; Support ($mm/yr)</t>
        </is>
      </c>
      <c r="D24" s="17" t="n"/>
      <c r="E24" s="17" t="n"/>
      <c r="F24" s="17" t="n"/>
      <c r="G24" s="17" t="n"/>
      <c r="H24" s="17" t="n"/>
      <c r="I24" s="17" t="n"/>
      <c r="J24" s="9" t="inlineStr"/>
    </row>
    <row r="25" ht="15" customHeight="1">
      <c r="B25" s="14" t="inlineStr">
        <is>
          <t xml:space="preserve">  Interest on Debt ($mm/yr)</t>
        </is>
      </c>
      <c r="D25" s="17" t="n"/>
      <c r="E25" s="17" t="n"/>
      <c r="F25" s="17" t="n"/>
      <c r="G25" s="17" t="n"/>
      <c r="H25" s="17" t="n"/>
      <c r="I25" s="17" t="n"/>
      <c r="J25" s="9">
        <f> Debt × Interest Rate</f>
        <v/>
      </c>
    </row>
    <row r="26" ht="15" customHeight="1">
      <c r="B26" s="18" t="inlineStr">
        <is>
          <t xml:space="preserve">    Cloud EBITDA ($mm/yr)</t>
        </is>
      </c>
      <c r="D26" s="19">
        <f>D17-D22-D23-D24</f>
        <v/>
      </c>
      <c r="E26" s="19">
        <f>E17-E22-E23-E24</f>
        <v/>
      </c>
      <c r="F26" s="19">
        <f>F17-F22-F23-F24</f>
        <v/>
      </c>
      <c r="G26" s="19">
        <f>G17-G22-G23-G24</f>
        <v/>
      </c>
      <c r="H26" s="19">
        <f>H17-H22-H23-H24</f>
        <v/>
      </c>
      <c r="I26" s="19">
        <f>I17-I22-I23-I24</f>
        <v/>
      </c>
      <c r="J26" s="9">
        <f> Revenue - Power - DC Opex - SW</f>
        <v/>
      </c>
    </row>
    <row r="27" ht="15" customHeight="1">
      <c r="B27" s="18" t="inlineStr">
        <is>
          <t xml:space="preserve">    Cloud FCF post-interest ($mm/yr)</t>
        </is>
      </c>
      <c r="D27" s="19">
        <f>D26-D25</f>
        <v/>
      </c>
      <c r="E27" s="19">
        <f>E26-E25</f>
        <v/>
      </c>
      <c r="F27" s="19">
        <f>F26-F25</f>
        <v/>
      </c>
      <c r="G27" s="19">
        <f>G26-G25</f>
        <v/>
      </c>
      <c r="H27" s="19">
        <f>H26-H25</f>
        <v/>
      </c>
      <c r="I27" s="19">
        <f>I26-I25</f>
        <v/>
      </c>
      <c r="J27" s="9">
        <f> EBITDA - Interest</f>
        <v/>
      </c>
    </row>
    <row r="29" ht="18" customHeight="1">
      <c r="B29" s="12" t="inlineStr">
        <is>
          <t xml:space="preserve">  ▸  C.  TIMING &amp; DISCOUNT RATE</t>
        </is>
      </c>
      <c r="D29" s="3" t="n"/>
      <c r="E29" s="3" t="n"/>
      <c r="F29" s="3" t="n"/>
      <c r="G29" s="3" t="n"/>
      <c r="H29" s="3" t="n"/>
      <c r="I29" s="3" t="n"/>
      <c r="J29" s="13" t="inlineStr"/>
    </row>
    <row r="30" ht="15" customHeight="1">
      <c r="B30" s="14" t="inlineStr">
        <is>
          <t>COD Year</t>
        </is>
      </c>
      <c r="D30" s="15" t="n">
        <v>2027</v>
      </c>
      <c r="E30" s="15" t="n">
        <v>2027</v>
      </c>
      <c r="F30" s="15" t="n">
        <v>2026</v>
      </c>
      <c r="G30" s="15" t="n">
        <v>2029</v>
      </c>
      <c r="H30" s="15" t="n">
        <v>2028</v>
      </c>
      <c r="I30" s="15" t="n">
        <v>2028</v>
      </c>
      <c r="J30" s="9" t="inlineStr">
        <is>
          <t>Year cash flow begins</t>
        </is>
      </c>
    </row>
    <row r="31" ht="15" customHeight="1">
      <c r="B31" s="18" t="inlineStr">
        <is>
          <t xml:space="preserve">  Years to COD</t>
        </is>
      </c>
      <c r="D31" s="21">
        <f>D30-2026</f>
        <v/>
      </c>
      <c r="E31" s="21">
        <f>E30-2026</f>
        <v/>
      </c>
      <c r="F31" s="21">
        <f>F30-2026</f>
        <v/>
      </c>
      <c r="G31" s="21">
        <f>G30-2026</f>
        <v/>
      </c>
      <c r="H31" s="21">
        <f>H30-2026</f>
        <v/>
      </c>
      <c r="I31" s="21">
        <f>I30-2026</f>
        <v/>
      </c>
      <c r="J31" s="9">
        <f> COD Year - 2026</f>
        <v/>
      </c>
    </row>
    <row r="32" ht="15" customHeight="1">
      <c r="B32" s="14" t="inlineStr">
        <is>
          <t>Lease / Contract Term (years)</t>
        </is>
      </c>
      <c r="D32" s="15" t="n">
        <v>10</v>
      </c>
      <c r="E32" s="15" t="n">
        <v>15</v>
      </c>
      <c r="F32" s="15" t="n">
        <v>15</v>
      </c>
      <c r="G32" s="15" t="n">
        <v>15</v>
      </c>
      <c r="H32" s="15" t="n">
        <v>15</v>
      </c>
      <c r="I32" s="15" t="n">
        <v>15</v>
      </c>
      <c r="J32" s="9" t="inlineStr"/>
    </row>
    <row r="33" ht="15" customHeight="1">
      <c r="B33" s="14" t="inlineStr">
        <is>
          <t>Discount Rate (WACC)</t>
        </is>
      </c>
      <c r="D33" s="20" t="n">
        <v>0.1</v>
      </c>
      <c r="E33" s="20" t="n">
        <v>0.1</v>
      </c>
      <c r="F33" s="20" t="n">
        <v>0.1</v>
      </c>
      <c r="G33" s="20" t="n">
        <v>0.1</v>
      </c>
      <c r="H33" s="20" t="n">
        <v>0.1</v>
      </c>
      <c r="I33" s="20" t="n">
        <v>0.1</v>
      </c>
      <c r="J33" s="9" t="inlineStr">
        <is>
          <t>Colo: ~10%  |  Cloud: ~12%</t>
        </is>
      </c>
    </row>
    <row r="34" ht="15" customHeight="1">
      <c r="B34" s="18" t="inlineStr">
        <is>
          <t xml:space="preserve">  Annuity Factor</t>
        </is>
      </c>
      <c r="D34" s="22">
        <f>IF(D33=0,D32,(1-(1+D33)^(-D32))/D33)</f>
        <v/>
      </c>
      <c r="E34" s="22">
        <f>IF(E33=0,E32,(1-(1+E33)^(-E32))/E33)</f>
        <v/>
      </c>
      <c r="F34" s="22">
        <f>IF(F33=0,F32,(1-(1+F33)^(-F32))/F33)</f>
        <v/>
      </c>
      <c r="G34" s="22">
        <f>IF(G33=0,G32,(1-(1+G33)^(-G32))/G33)</f>
        <v/>
      </c>
      <c r="H34" s="22">
        <f>IF(H33=0,H32,(1-(1+H33)^(-H32))/H33)</f>
        <v/>
      </c>
      <c r="I34" s="22">
        <f>IF(I33=0,I32,(1-(1+I33)^(-I32))/I33)</f>
        <v/>
      </c>
      <c r="J34" s="9">
        <f> PV annuity at discount rate for term</f>
        <v/>
      </c>
    </row>
    <row r="35" ht="15" customHeight="1">
      <c r="B35" s="18" t="inlineStr">
        <is>
          <t xml:space="preserve">  Discount Factor to Today</t>
        </is>
      </c>
      <c r="D35" s="22">
        <f>1/(1+D33)^D31</f>
        <v/>
      </c>
      <c r="E35" s="22">
        <f>1/(1+E33)^E31</f>
        <v/>
      </c>
      <c r="F35" s="22">
        <f>1/(1+F33)^F31</f>
        <v/>
      </c>
      <c r="G35" s="22">
        <f>1/(1+G33)^G31</f>
        <v/>
      </c>
      <c r="H35" s="22">
        <f>1/(1+H33)^H31</f>
        <v/>
      </c>
      <c r="I35" s="22">
        <f>1/(1+I33)^I31</f>
        <v/>
      </c>
      <c r="J35" s="9">
        <f> 1/(1+r)^years_to_COD</f>
        <v/>
      </c>
    </row>
    <row r="37" ht="18" customHeight="1">
      <c r="B37" s="12" t="inlineStr">
        <is>
          <t xml:space="preserve">  ▸  D.  CAPEX &amp; FINANCING</t>
        </is>
      </c>
      <c r="D37" s="3" t="n"/>
      <c r="E37" s="3" t="n"/>
      <c r="F37" s="3" t="n"/>
      <c r="G37" s="3" t="n"/>
      <c r="H37" s="3" t="n"/>
      <c r="I37" s="3" t="n"/>
      <c r="J37" s="13" t="inlineStr"/>
    </row>
    <row r="38" ht="15" customHeight="1">
      <c r="B38" s="14" t="inlineStr">
        <is>
          <t>Remaining Construction / GPU Capex ($mm)</t>
        </is>
      </c>
      <c r="D38" s="17" t="n">
        <v>400</v>
      </c>
      <c r="E38" s="17" t="n">
        <v>430</v>
      </c>
      <c r="F38" s="17" t="n">
        <v>953</v>
      </c>
      <c r="G38" s="17" t="n">
        <v>750</v>
      </c>
      <c r="H38" s="17" t="n">
        <v>300</v>
      </c>
      <c r="I38" s="17" t="n">
        <v>750</v>
      </c>
      <c r="J38" s="9" t="inlineStr">
        <is>
          <t>Colo: build cost  |  Cloud: GPU purchase cost</t>
        </is>
      </c>
    </row>
    <row r="39" ht="15" customHeight="1">
      <c r="B39" s="14" t="inlineStr">
        <is>
          <t>Loan-to-Cost Ratio (%)</t>
        </is>
      </c>
      <c r="D39" s="20" t="n">
        <v>0.85</v>
      </c>
      <c r="E39" s="20" t="n">
        <v>0.85</v>
      </c>
      <c r="F39" s="20" t="n">
        <v>0.85</v>
      </c>
      <c r="G39" s="20" t="n">
        <v>0.8</v>
      </c>
      <c r="H39" s="20" t="n">
        <v>0.8</v>
      </c>
      <c r="I39" s="20" t="n">
        <v>0.8</v>
      </c>
      <c r="J39" s="9" t="inlineStr">
        <is>
          <t>Typically 85% for colo projects</t>
        </is>
      </c>
    </row>
    <row r="40" ht="15" customHeight="1">
      <c r="B40" s="14" t="inlineStr">
        <is>
          <t>Project Debt ($mm)</t>
        </is>
      </c>
      <c r="D40" s="17" t="n">
        <v>340</v>
      </c>
      <c r="E40" s="17" t="n">
        <v>365</v>
      </c>
      <c r="F40" s="17" t="n">
        <v>810</v>
      </c>
      <c r="G40" s="17" t="n">
        <v>600</v>
      </c>
      <c r="H40" s="17" t="n">
        <v>240</v>
      </c>
      <c r="I40" s="17" t="n">
        <v>600</v>
      </c>
      <c r="J40" s="9" t="inlineStr">
        <is>
          <t>Can auto-calc: = Capex × LTC, or enter directly</t>
        </is>
      </c>
    </row>
    <row r="41" ht="15" customHeight="1">
      <c r="B41" s="18" t="inlineStr">
        <is>
          <t xml:space="preserve">  Equity Invested ($mm)</t>
        </is>
      </c>
      <c r="D41" s="19">
        <f>D38*(1-D39)</f>
        <v/>
      </c>
      <c r="E41" s="19">
        <f>E38*(1-E39)</f>
        <v/>
      </c>
      <c r="F41" s="19">
        <f>F38*(1-F39)</f>
        <v/>
      </c>
      <c r="G41" s="19">
        <f>G38*(1-G39)</f>
        <v/>
      </c>
      <c r="H41" s="19">
        <f>H38*(1-H39)</f>
        <v/>
      </c>
      <c r="I41" s="19">
        <f>I38*(1-I39)</f>
        <v/>
      </c>
      <c r="J41" s="9">
        <f> Capex × (1 - LTC)</f>
        <v/>
      </c>
    </row>
    <row r="43" ht="18" customHeight="1">
      <c r="B43" s="12" t="inlineStr">
        <is>
          <t xml:space="preserve">  ▸  E.  GPU REPLACEMENT CAPEX  (Cloud only; leave blank for Colo)</t>
        </is>
      </c>
      <c r="D43" s="3" t="n"/>
      <c r="E43" s="3" t="n"/>
      <c r="F43" s="3" t="n"/>
      <c r="G43" s="3" t="n"/>
      <c r="H43" s="3" t="n"/>
      <c r="I43" s="3" t="n"/>
      <c r="J43" s="13" t="inlineStr"/>
    </row>
    <row r="44" ht="15" customHeight="1">
      <c r="B44" s="14" t="inlineStr">
        <is>
          <t xml:space="preserve">  GPU Useful Life (years)</t>
        </is>
      </c>
      <c r="D44" s="15" t="n"/>
      <c r="E44" s="15" t="n"/>
      <c r="F44" s="15" t="n"/>
      <c r="G44" s="15" t="n"/>
      <c r="H44" s="15" t="n"/>
      <c r="I44" s="15" t="n"/>
      <c r="J44" s="9" t="inlineStr">
        <is>
          <t>Typically 4 years for Blackwell-class</t>
        </is>
      </c>
    </row>
    <row r="45" ht="15" customHeight="1">
      <c r="B45" s="14" t="inlineStr">
        <is>
          <t xml:space="preserve">  Replacement Capex (% of initial)</t>
        </is>
      </c>
      <c r="D45" s="20" t="n"/>
      <c r="E45" s="20" t="n"/>
      <c r="F45" s="20" t="n"/>
      <c r="G45" s="20" t="n"/>
      <c r="H45" s="20" t="n"/>
      <c r="I45" s="20" t="n"/>
      <c r="J45" s="9" t="inlineStr">
        <is>
          <t>~80% — next-gen GPUs cost similar</t>
        </is>
      </c>
    </row>
    <row r="46" ht="15" customHeight="1">
      <c r="B46" s="18" t="inlineStr">
        <is>
          <t xml:space="preserve">    Replacement Capex Amount ($mm)</t>
        </is>
      </c>
      <c r="D46" s="19">
        <f>D38*D45</f>
        <v/>
      </c>
      <c r="E46" s="19">
        <f>E38*E45</f>
        <v/>
      </c>
      <c r="F46" s="19">
        <f>F38*F45</f>
        <v/>
      </c>
      <c r="G46" s="19">
        <f>G38*G45</f>
        <v/>
      </c>
      <c r="H46" s="19">
        <f>H38*H45</f>
        <v/>
      </c>
      <c r="I46" s="19">
        <f>I38*I45</f>
        <v/>
      </c>
      <c r="J46" s="9">
        <f> Capex × Replacement %</f>
        <v/>
      </c>
    </row>
    <row r="47" ht="15" customHeight="1">
      <c r="B47" s="18" t="inlineStr">
        <is>
          <t xml:space="preserve">    Replacement Year</t>
        </is>
      </c>
      <c r="D47" s="21">
        <f>IF(D44="","",D30+D44)</f>
        <v/>
      </c>
      <c r="E47" s="21">
        <f>IF(E44="","",E30+E44)</f>
        <v/>
      </c>
      <c r="F47" s="21">
        <f>IF(F44="","",F30+F44)</f>
        <v/>
      </c>
      <c r="G47" s="21">
        <f>IF(G44="","",G30+G44)</f>
        <v/>
      </c>
      <c r="H47" s="21">
        <f>IF(H44="","",H30+H44)</f>
        <v/>
      </c>
      <c r="I47" s="21">
        <f>IF(I44="","",I30+I44)</f>
        <v/>
      </c>
      <c r="J47" s="9">
        <f> COD Year + GPU Life</f>
        <v/>
      </c>
    </row>
    <row r="48" ht="15" customHeight="1">
      <c r="B48" s="18" t="inlineStr">
        <is>
          <t xml:space="preserve">    PV of Replacement Capex ($mm)</t>
        </is>
      </c>
      <c r="D48" s="19">
        <f>IF(D44="",0,D46/(1+D33)^(D47-2026))</f>
        <v/>
      </c>
      <c r="E48" s="19">
        <f>IF(E44="",0,E46/(1+E33)^(E47-2026))</f>
        <v/>
      </c>
      <c r="F48" s="19">
        <f>IF(F44="",0,F46/(1+F33)^(F47-2026))</f>
        <v/>
      </c>
      <c r="G48" s="19">
        <f>IF(G44="",0,G46/(1+G33)^(G47-2026))</f>
        <v/>
      </c>
      <c r="H48" s="19">
        <f>IF(H44="",0,H46/(1+H33)^(H47-2026))</f>
        <v/>
      </c>
      <c r="I48" s="19">
        <f>IF(I44="",0,I46/(1+I33)^(I47-2026))</f>
        <v/>
      </c>
      <c r="J48" s="9" t="inlineStr">
        <is>
          <t>Discounted back to today</t>
        </is>
      </c>
    </row>
    <row r="50" ht="18" customHeight="1">
      <c r="B50" s="12" t="inlineStr">
        <is>
          <t xml:space="preserve">  ▸  F.  EXTENSION / RENEWAL</t>
        </is>
      </c>
      <c r="D50" s="3" t="n"/>
      <c r="E50" s="3" t="n"/>
      <c r="F50" s="3" t="n"/>
      <c r="G50" s="3" t="n"/>
      <c r="H50" s="3" t="n"/>
      <c r="I50" s="3" t="n"/>
      <c r="J50" s="13" t="inlineStr"/>
    </row>
    <row r="51" ht="15" customHeight="1">
      <c r="B51" s="14" t="inlineStr">
        <is>
          <t>Extension / Renewal Term (years)</t>
        </is>
      </c>
      <c r="D51" s="15" t="n">
        <v>5</v>
      </c>
      <c r="E51" s="15" t="n">
        <v>5</v>
      </c>
      <c r="F51" s="15" t="n">
        <v>5</v>
      </c>
      <c r="G51" s="15" t="n">
        <v>5</v>
      </c>
      <c r="H51" s="15" t="n">
        <v>5</v>
      </c>
      <c r="I51" s="15" t="n">
        <v>5</v>
      </c>
      <c r="J51" s="9" t="inlineStr">
        <is>
          <t>0 = no renewal modeled</t>
        </is>
      </c>
    </row>
    <row r="52" ht="15" customHeight="1">
      <c r="B52" s="14" t="inlineStr">
        <is>
          <t>Renewal Revenue Haircut (%)</t>
        </is>
      </c>
      <c r="D52" s="20" t="n">
        <v>0.9</v>
      </c>
      <c r="E52" s="20" t="n">
        <v>0.9</v>
      </c>
      <c r="F52" s="20" t="n">
        <v>0.9</v>
      </c>
      <c r="G52" s="20" t="n">
        <v>0.85</v>
      </c>
      <c r="H52" s="20" t="n">
        <v>0.85</v>
      </c>
      <c r="I52" s="20" t="n">
        <v>0.85</v>
      </c>
      <c r="J52" s="9" t="inlineStr">
        <is>
          <t>Renewal rent as % of base rent  (e.g. 90%)</t>
        </is>
      </c>
    </row>
    <row r="53" ht="15" customHeight="1">
      <c r="B53" s="14" t="inlineStr">
        <is>
          <t>Probability of Renewal (%)</t>
        </is>
      </c>
      <c r="D53" s="20" t="n">
        <v>0.65</v>
      </c>
      <c r="E53" s="20" t="n">
        <v>0.65</v>
      </c>
      <c r="F53" s="20" t="n">
        <v>0.65</v>
      </c>
      <c r="G53" s="20" t="n">
        <v>0.55</v>
      </c>
      <c r="H53" s="20" t="n">
        <v>0.55</v>
      </c>
      <c r="I53" s="20" t="n">
        <v>0.55</v>
      </c>
      <c r="J53" s="9" t="inlineStr"/>
    </row>
    <row r="54" ht="15" customHeight="1">
      <c r="B54" s="18" t="inlineStr">
        <is>
          <t xml:space="preserve">  PV of Renewal (risked, $mm)</t>
        </is>
      </c>
      <c r="D54" s="19">
        <f>IF(D51=0,0,D19*D52*IF(D33=0,D51,(1-(1+D33)^(-D51))/D33)*D35*(1+D33)^(-D32)*D53)</f>
        <v/>
      </c>
      <c r="E54" s="19">
        <f>IF(E51=0,0,E19*E52*IF(E33=0,E51,(1-(1+E33)^(-E51))/E33)*E35*(1+E33)^(-E32)*E53)</f>
        <v/>
      </c>
      <c r="F54" s="19">
        <f>IF(F51=0,0,F19*F52*IF(F33=0,F51,(1-(1+F33)^(-F51))/F33)*F35*(1+F33)^(-F32)*F53)</f>
        <v/>
      </c>
      <c r="G54" s="19">
        <f>IF(G51=0,0,G19*G52*IF(G33=0,G51,(1-(1+G33)^(-G51))/G33)*G35*(1+G33)^(-G32)*G53)</f>
        <v/>
      </c>
      <c r="H54" s="19">
        <f>IF(H51=0,0,H19*H52*IF(H33=0,H51,(1-(1+H33)^(-H51))/H33)*H35*(1+H33)^(-H32)*H53)</f>
        <v/>
      </c>
      <c r="I54" s="19">
        <f>IF(I51=0,0,I19*I52*IF(I33=0,I51,(1-(1+I33)^(-I51))/I33)*I35*(1+I33)^(-I32)*I53)</f>
        <v/>
      </c>
      <c r="J54" s="9">
        <f> Renewal NOI × annuity × discount × prob</f>
        <v/>
      </c>
    </row>
    <row r="56" ht="18" customHeight="1">
      <c r="B56" s="12" t="inlineStr">
        <is>
          <t xml:space="preserve">  ▸  G.  RISK ADJUSTMENT  (pipeline / unsigned deals)</t>
        </is>
      </c>
      <c r="D56" s="3" t="n"/>
      <c r="E56" s="3" t="n"/>
      <c r="F56" s="3" t="n"/>
      <c r="G56" s="3" t="n"/>
      <c r="H56" s="3" t="n"/>
      <c r="I56" s="3" t="n"/>
      <c r="J56" s="13" t="inlineStr"/>
    </row>
    <row r="57" ht="15" customHeight="1">
      <c r="B57" s="14" t="inlineStr">
        <is>
          <t>Probability of Signing (%)</t>
        </is>
      </c>
      <c r="D57" s="20" t="n">
        <v>1</v>
      </c>
      <c r="E57" s="20" t="n">
        <v>1</v>
      </c>
      <c r="F57" s="20" t="n">
        <v>1</v>
      </c>
      <c r="G57" s="20" t="n">
        <v>0.35</v>
      </c>
      <c r="H57" s="20" t="n">
        <v>0.4</v>
      </c>
      <c r="I57" s="20" t="n">
        <v>0.35</v>
      </c>
      <c r="J57" s="9" t="inlineStr">
        <is>
          <t>1.0 = already signed</t>
        </is>
      </c>
    </row>
    <row r="58" ht="15" customHeight="1">
      <c r="B58" s="14" t="inlineStr">
        <is>
          <t>Probability of Reaching COD (%)</t>
        </is>
      </c>
      <c r="D58" s="20" t="n">
        <v>0.9</v>
      </c>
      <c r="E58" s="20" t="n">
        <v>0.9</v>
      </c>
      <c r="F58" s="20" t="n">
        <v>0.92</v>
      </c>
      <c r="G58" s="20" t="n">
        <v>0.75</v>
      </c>
      <c r="H58" s="20" t="n">
        <v>0.78</v>
      </c>
      <c r="I58" s="20" t="n">
        <v>0.75</v>
      </c>
      <c r="J58" s="9" t="inlineStr">
        <is>
          <t>Execution / construction risk</t>
        </is>
      </c>
    </row>
    <row r="59" ht="15" customHeight="1">
      <c r="B59" s="18" t="inlineStr">
        <is>
          <t xml:space="preserve">  Combined Risk Factor (%)</t>
        </is>
      </c>
      <c r="D59" s="23">
        <f>D57*D58</f>
        <v/>
      </c>
      <c r="E59" s="23">
        <f>E57*E58</f>
        <v/>
      </c>
      <c r="F59" s="23">
        <f>F57*F58</f>
        <v/>
      </c>
      <c r="G59" s="23">
        <f>G57*G58</f>
        <v/>
      </c>
      <c r="H59" s="23">
        <f>H57*H58</f>
        <v/>
      </c>
      <c r="I59" s="23">
        <f>I57*I58</f>
        <v/>
      </c>
      <c r="J59" s="9">
        <f> Prob Sign × Prob COD</f>
        <v/>
      </c>
    </row>
    <row r="61" ht="18" customHeight="1">
      <c r="B61" s="12" t="inlineStr">
        <is>
          <t xml:space="preserve">  ▸  H.  NPV OUTPUT  ◀  KEY RESULTS</t>
        </is>
      </c>
      <c r="D61" s="3" t="n"/>
      <c r="E61" s="3" t="n"/>
      <c r="F61" s="3" t="n"/>
      <c r="G61" s="3" t="n"/>
      <c r="H61" s="3" t="n"/>
      <c r="I61" s="3" t="n"/>
      <c r="J61" s="13" t="inlineStr"/>
    </row>
    <row r="62" ht="16" customHeight="1">
      <c r="B62" s="24" t="inlineStr">
        <is>
          <t xml:space="preserve">  PV of Base Lease / Contract ($mm)</t>
        </is>
      </c>
      <c r="D62" s="25">
        <f>IF(UPPER(D6)="CLOUD",D27*D34*D35-D48,D19*D34*D35)</f>
        <v/>
      </c>
      <c r="E62" s="25">
        <f>IF(UPPER(E6)="CLOUD",E27*E34*E35-E48,E19*E34*E35)</f>
        <v/>
      </c>
      <c r="F62" s="25">
        <f>IF(UPPER(F6)="CLOUD",F27*F34*F35-F48,F19*F34*F35)</f>
        <v/>
      </c>
      <c r="G62" s="25">
        <f>IF(UPPER(G6)="CLOUD",G27*G34*G35-G48,G19*G34*G35)</f>
        <v/>
      </c>
      <c r="H62" s="25">
        <f>IF(UPPER(H6)="CLOUD",H27*H34*H35-H48,H19*H34*H35)</f>
        <v/>
      </c>
      <c r="I62" s="25">
        <f>IF(UPPER(I6)="CLOUD",I27*I34*I35-I48,I19*I34*I35)</f>
        <v/>
      </c>
      <c r="J62" s="9">
        <f> Annual NOI × Annuity Factor × Discount Factor</f>
        <v/>
      </c>
    </row>
    <row r="63" ht="18" customHeight="1">
      <c r="B63" s="26" t="inlineStr">
        <is>
          <t xml:space="preserve">  Gross Project Value ($mm)</t>
        </is>
      </c>
      <c r="D63" s="27">
        <f>D62+D54</f>
        <v/>
      </c>
      <c r="E63" s="27">
        <f>E62+E54</f>
        <v/>
      </c>
      <c r="F63" s="27">
        <f>F62+F54</f>
        <v/>
      </c>
      <c r="G63" s="27">
        <f>G62+G54</f>
        <v/>
      </c>
      <c r="H63" s="27">
        <f>H62+H54</f>
        <v/>
      </c>
      <c r="I63" s="27">
        <f>I62+I54</f>
        <v/>
      </c>
      <c r="J63" s="9">
        <f> PV Base + PV Renewal</f>
        <v/>
      </c>
    </row>
    <row r="64" ht="18" customHeight="1">
      <c r="B64" s="7" t="inlineStr">
        <is>
          <t xml:space="preserve">  Unlevered Project NPV ($mm)</t>
        </is>
      </c>
      <c r="D64" s="28">
        <f>D63-D38</f>
        <v/>
      </c>
      <c r="E64" s="28">
        <f>E63-E38</f>
        <v/>
      </c>
      <c r="F64" s="28">
        <f>F63-F38</f>
        <v/>
      </c>
      <c r="G64" s="28">
        <f>G63-G38</f>
        <v/>
      </c>
      <c r="H64" s="28">
        <f>H63-H38</f>
        <v/>
      </c>
      <c r="I64" s="28">
        <f>I63-I38</f>
        <v/>
      </c>
      <c r="J64" s="9">
        <f> Gross Value - Capex  |  Is this a good project?</f>
        <v/>
      </c>
    </row>
    <row r="65" ht="18" customHeight="1">
      <c r="B65" s="7" t="inlineStr">
        <is>
          <t xml:space="preserve">  Levered Equity NPV ($mm)</t>
        </is>
      </c>
      <c r="D65" s="28">
        <f>D63-D40-D41</f>
        <v/>
      </c>
      <c r="E65" s="28">
        <f>E63-E40-E41</f>
        <v/>
      </c>
      <c r="F65" s="28">
        <f>F63-F40-F41</f>
        <v/>
      </c>
      <c r="G65" s="28">
        <f>G63-G40-G41</f>
        <v/>
      </c>
      <c r="H65" s="28">
        <f>H63-H40-H41</f>
        <v/>
      </c>
      <c r="I65" s="28">
        <f>I63-I40-I41</f>
        <v/>
      </c>
      <c r="J65" s="9">
        <f> Gross Value - Debt - Equity  |  Equity return</f>
        <v/>
      </c>
    </row>
    <row r="66" ht="20" customHeight="1">
      <c r="B66" s="29" t="inlineStr">
        <is>
          <t xml:space="preserve">  Risked Unlevered NPV ($mm)</t>
        </is>
      </c>
      <c r="D66" s="30">
        <f>D64*D59</f>
        <v/>
      </c>
      <c r="E66" s="30">
        <f>E64*E59</f>
        <v/>
      </c>
      <c r="F66" s="30">
        <f>F64*F59</f>
        <v/>
      </c>
      <c r="G66" s="30">
        <f>G64*G59</f>
        <v/>
      </c>
      <c r="H66" s="30">
        <f>H64*H59</f>
        <v/>
      </c>
      <c r="I66" s="30">
        <f>I64*I59</f>
        <v/>
      </c>
      <c r="J66" s="9">
        <f> Unlevered NPV × Risk Factor</f>
        <v/>
      </c>
    </row>
    <row r="67" ht="20" customHeight="1">
      <c r="B67" s="29" t="inlineStr">
        <is>
          <t xml:space="preserve">  Risked Levered NPV ($mm)</t>
        </is>
      </c>
      <c r="D67" s="30">
        <f>D65*D59</f>
        <v/>
      </c>
      <c r="E67" s="30">
        <f>E65*E59</f>
        <v/>
      </c>
      <c r="F67" s="30">
        <f>F65*F59</f>
        <v/>
      </c>
      <c r="G67" s="30">
        <f>G65*G59</f>
        <v/>
      </c>
      <c r="H67" s="30">
        <f>H65*H59</f>
        <v/>
      </c>
      <c r="I67" s="30">
        <f>I65*I59</f>
        <v/>
      </c>
      <c r="J67" s="9">
        <f> Levered NPV × Risk Factor</f>
        <v/>
      </c>
    </row>
    <row r="70" ht="20" customHeight="1">
      <c r="A70" s="1" t="n"/>
      <c r="B70" s="31" t="inlineStr">
        <is>
          <t xml:space="preserve">  PORTFOLIO SUMMARY</t>
        </is>
      </c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</row>
    <row r="71" ht="16" customHeight="1">
      <c r="B71" s="12" t="inlineStr">
        <is>
          <t>Metric</t>
        </is>
      </c>
      <c r="D71" s="32" t="n"/>
      <c r="E71" s="32" t="n"/>
      <c r="F71" s="32" t="n"/>
      <c r="G71" s="32" t="n"/>
      <c r="H71" s="32" t="n"/>
      <c r="I71" s="32" t="n"/>
      <c r="J71" s="12" t="inlineStr">
        <is>
          <t>Sum / Note</t>
        </is>
      </c>
    </row>
    <row r="72" ht="15" customHeight="1">
      <c r="B72" s="10" t="inlineStr">
        <is>
          <t>Gross Project Value ($mm)</t>
        </is>
      </c>
      <c r="D72" s="33">
        <f>D63</f>
        <v/>
      </c>
      <c r="E72" s="33">
        <f>E63</f>
        <v/>
      </c>
      <c r="F72" s="33">
        <f>F63</f>
        <v/>
      </c>
      <c r="G72" s="33">
        <f>G63</f>
        <v/>
      </c>
      <c r="H72" s="33">
        <f>H63</f>
        <v/>
      </c>
      <c r="I72" s="33">
        <f>I63</f>
        <v/>
      </c>
      <c r="J72" s="33">
        <f>SUM(D72:I72)</f>
        <v/>
      </c>
    </row>
    <row r="73" ht="15" customHeight="1">
      <c r="B73" s="10" t="inlineStr">
        <is>
          <t>Unlevered Project NPV ($mm)</t>
        </is>
      </c>
      <c r="D73" s="33">
        <f>D64</f>
        <v/>
      </c>
      <c r="E73" s="33">
        <f>E64</f>
        <v/>
      </c>
      <c r="F73" s="33">
        <f>F64</f>
        <v/>
      </c>
      <c r="G73" s="33">
        <f>G64</f>
        <v/>
      </c>
      <c r="H73" s="33">
        <f>H64</f>
        <v/>
      </c>
      <c r="I73" s="33">
        <f>I64</f>
        <v/>
      </c>
      <c r="J73" s="33">
        <f>SUM(D73:I73)</f>
        <v/>
      </c>
    </row>
    <row r="74" ht="15" customHeight="1">
      <c r="B74" s="10" t="inlineStr">
        <is>
          <t>Levered Equity NPV ($mm)</t>
        </is>
      </c>
      <c r="D74" s="33">
        <f>D65</f>
        <v/>
      </c>
      <c r="E74" s="33">
        <f>E65</f>
        <v/>
      </c>
      <c r="F74" s="33">
        <f>F65</f>
        <v/>
      </c>
      <c r="G74" s="33">
        <f>G65</f>
        <v/>
      </c>
      <c r="H74" s="33">
        <f>H65</f>
        <v/>
      </c>
      <c r="I74" s="33">
        <f>I65</f>
        <v/>
      </c>
      <c r="J74" s="33">
        <f>SUM(D74:I74)</f>
        <v/>
      </c>
    </row>
    <row r="75" ht="15" customHeight="1">
      <c r="B75" s="29" t="inlineStr">
        <is>
          <t>Risked Unlevered NPV ($mm)</t>
        </is>
      </c>
      <c r="D75" s="30">
        <f>D66</f>
        <v/>
      </c>
      <c r="E75" s="30">
        <f>E66</f>
        <v/>
      </c>
      <c r="F75" s="30">
        <f>F66</f>
        <v/>
      </c>
      <c r="G75" s="30">
        <f>G66</f>
        <v/>
      </c>
      <c r="H75" s="30">
        <f>H66</f>
        <v/>
      </c>
      <c r="I75" s="30">
        <f>I66</f>
        <v/>
      </c>
      <c r="J75" s="34">
        <f>SUM(D75:I75)</f>
        <v/>
      </c>
    </row>
    <row r="76" ht="15" customHeight="1">
      <c r="B76" s="29" t="inlineStr">
        <is>
          <t>Risked Levered NPV ($mm)</t>
        </is>
      </c>
      <c r="D76" s="30">
        <f>D67</f>
        <v/>
      </c>
      <c r="E76" s="30">
        <f>E67</f>
        <v/>
      </c>
      <c r="F76" s="30">
        <f>F67</f>
        <v/>
      </c>
      <c r="G76" s="30">
        <f>G67</f>
        <v/>
      </c>
      <c r="H76" s="30">
        <f>H67</f>
        <v/>
      </c>
      <c r="I76" s="30">
        <f>I67</f>
        <v/>
      </c>
      <c r="J76" s="34">
        <f>SUM(D76:I76)</f>
        <v/>
      </c>
    </row>
  </sheetData>
  <mergeCells count="13">
    <mergeCell ref="B21:C21"/>
    <mergeCell ref="B1:K1"/>
    <mergeCell ref="B29:C29"/>
    <mergeCell ref="B11:C11"/>
    <mergeCell ref="B5:C5"/>
    <mergeCell ref="B37:C37"/>
    <mergeCell ref="B70:K70"/>
    <mergeCell ref="B61:C61"/>
    <mergeCell ref="B50:C50"/>
    <mergeCell ref="B2:K2"/>
    <mergeCell ref="B56:C56"/>
    <mergeCell ref="B71:C71"/>
    <mergeCell ref="B43:C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2026-06-26T10:41:19Z</dcterms:created>
  <dcterms:modified xsi:type="dcterms:W3CDTF">2026-06-26T10:41:19Z</dcterms:modified>
</cp:coreProperties>
</file>