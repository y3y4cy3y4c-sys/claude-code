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680" tabRatio="600" firstSheet="5" activeTab="5" autoFilterDateGrouping="1"/>
  </bookViews>
  <sheets>
    <sheet name="READ ME" sheetId="1" state="visible" r:id="rId1"/>
    <sheet name="CORRECTION LOG" sheetId="2" state="visible" r:id="rId2"/>
    <sheet name="Assumptions" sheetId="3" state="visible" r:id="rId3"/>
    <sheet name="Summary" sheetId="4" state="visible" r:id="rId4"/>
    <sheet name="CORZ" sheetId="5" state="visible" r:id="rId5"/>
    <sheet name="APLD" sheetId="6" state="visible" r:id="rId6"/>
    <sheet name="WULF" sheetId="7" state="visible" r:id="rId7"/>
    <sheet name="RIOT" sheetId="8" state="visible" r:id="rId8"/>
    <sheet name="HUT" sheetId="9" state="visible" r:id="rId9"/>
    <sheet name="CIFR" sheetId="10" state="visible" r:id="rId10"/>
    <sheet name="CLSK" sheetId="11" state="visible" r:id="rId11"/>
    <sheet name="KEEL" sheetId="12" state="visible" r:id="rId12"/>
    <sheet name="SLNH" sheetId="13" state="visible" r:id="rId13"/>
    <sheet name="GLXY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\$#,##0.00"/>
    <numFmt numFmtId="167" formatCode="#,##0.0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1"/>
    </font>
    <font>
      <name val="Calibri"/>
      <family val="2"/>
      <b val="1"/>
      <color rgb="FF333333"/>
      <sz val="10"/>
    </font>
    <font>
      <name val="Calibri"/>
      <family val="2"/>
      <color rgb="FF7F6000"/>
      <sz val="10"/>
    </font>
    <font>
      <name val="Calibri"/>
      <family val="2"/>
      <i val="1"/>
      <color rgb="FF808080"/>
      <sz val="8"/>
    </font>
    <font>
      <name val="Calibri"/>
      <family val="2"/>
      <sz val="10"/>
    </font>
    <font>
      <name val="Calibri"/>
      <family val="2"/>
      <b val="1"/>
      <color rgb="FF1F3864"/>
      <sz val="12"/>
    </font>
    <font>
      <name val="Calibri"/>
      <family val="2"/>
      <i val="1"/>
      <color rgb="FF833C00"/>
      <sz val="9"/>
    </font>
    <font>
      <name val="Calibri"/>
      <sz val="8"/>
    </font>
    <font>
      <name val="Calibri"/>
      <b val="1"/>
      <color rgb="001F3864"/>
      <sz val="12"/>
    </font>
    <font>
      <name val="Calibri"/>
      <i val="1"/>
      <color rgb="00595959"/>
      <sz val="9"/>
    </font>
    <font>
      <name val="Calibri"/>
      <b val="1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DDEBF7"/>
      </patternFill>
    </fill>
    <fill>
      <patternFill patternType="solid">
        <fgColor rgb="FF808080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pivotButton="0" quotePrefix="0" xfId="0"/>
    <xf numFmtId="164" fontId="4" fillId="4" borderId="1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0" fontId="2" fillId="3" borderId="1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4" fillId="4" borderId="1" applyAlignment="1" pivotButton="0" quotePrefix="0" xfId="0">
      <alignment horizontal="right"/>
    </xf>
    <xf numFmtId="0" fontId="7" fillId="0" borderId="0" pivotButton="0" quotePrefix="0" xfId="0"/>
    <xf numFmtId="3" fontId="7" fillId="6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3" fontId="7" fillId="8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12" borderId="0" pivotButton="0" quotePrefix="0" xfId="0"/>
    <xf numFmtId="0" fontId="14" fillId="10" borderId="0" applyAlignment="1" pivotButton="0" quotePrefix="0" xfId="0">
      <alignment wrapText="1"/>
    </xf>
    <xf numFmtId="0" fontId="15" fillId="0" borderId="0" pivotButton="0" quotePrefix="0" xfId="0"/>
    <xf numFmtId="0" fontId="14" fillId="11" borderId="0" applyAlignment="1" pivotButton="0" quotePrefix="0" xfId="0">
      <alignment wrapText="1"/>
    </xf>
    <xf numFmtId="164" fontId="4" fillId="1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4" fillId="4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3" fontId="4" fillId="10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9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ColWidth="8.85546875" defaultRowHeight="15"/>
  <cols>
    <col width="114" customWidth="1" style="31" min="1" max="1"/>
  </cols>
  <sheetData>
    <row r="1" ht="20.1" customHeight="1" s="31">
      <c r="A1" s="1" t="inlineStr">
        <is>
          <t>Intrinsic EV / NPV — DRAFT v2 (CORZ, WULF, CLSK)</t>
        </is>
      </c>
    </row>
    <row r="2" ht="15" customHeight="1" s="31">
      <c r="A2" s="2" t="inlineStr">
        <is>
          <t>SOTP: Landlord (Morgan Stanley framework) + Mining (finite life) + BTC treasury − net debt − minorities.</t>
        </is>
      </c>
    </row>
    <row r="3" ht="15" customHeight="1" s="31">
      <c r="A3" s="2" t="n"/>
    </row>
    <row r="4" ht="15" customHeight="1" s="31">
      <c r="A4" s="2" t="inlineStr">
        <is>
          <t>Landlord = real estate. Signed colocation @10% WACC, pipeline @11%, 85% NOI margin, signing 100% × COD 85% on signed deals.</t>
        </is>
      </c>
    </row>
    <row r="5" ht="15" customHeight="1" s="31">
      <c r="A5" s="2" t="inlineStr">
        <is>
          <t>Disclosed $/MW (lease rev ÷ billable MW) values operating &amp; signed capacity; generic $/MW (noted) only for un-leased/pipeline.</t>
        </is>
      </c>
    </row>
    <row r="6" ht="15" customHeight="1" s="31">
      <c r="A6" s="2" t="inlineStr">
        <is>
          <t>Mining = 5-yr finite life, no perpetuity, scales with BTC scenario; loss-making mining floored at 0. Treasury marked at weighted price.</t>
        </is>
      </c>
    </row>
    <row r="7" ht="15" customHeight="1" s="31">
      <c r="A7" s="2" t="inlineStr">
        <is>
          <t>Overhead = SG&amp;A net of stock-comp, capitalized at 12%. Risk = WACC + discrete COD/lease-up probabilities + 3 BTC scenarios.</t>
        </is>
      </c>
    </row>
    <row r="8" ht="15" customHeight="1" s="31">
      <c r="A8" s="2" t="n"/>
    </row>
    <row r="9" ht="15" customHeight="1" s="31">
      <c r="A9" s="3" t="inlineStr">
        <is>
          <t>Flagged for verification: WULF ~$5.2B gross debt and its SBC (10-K ~$20M vs Q1'26 cash-flow ~$101M); CORZ/CLSK SG&amp;A are estimates.</t>
        </is>
      </c>
    </row>
    <row r="10" ht="15" customHeight="1" s="31">
      <c r="A10" s="3" t="inlineStr">
        <is>
          <t>Market-cap cells blank — fill to see upside/downside (live pull declined).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style="31" min="1" max="1"/>
    <col width="20" customWidth="1" style="31" min="2" max="2"/>
    <col width="20" customWidth="1" style="31" min="3" max="3"/>
    <col width="55" customWidth="1" style="31" min="4" max="4"/>
  </cols>
  <sheetData>
    <row r="1">
      <c r="A1" s="34" t="inlineStr">
        <is>
          <t>SOTP MODEL — CORRECTION LOG</t>
        </is>
      </c>
    </row>
    <row r="2">
      <c r="A2" s="35" t="inlineStr">
        <is>
          <t>Generated 2026-06-27. Source: Q1'26 10-Q (CIFR) + earnings call.</t>
        </is>
      </c>
    </row>
    <row r="4" ht="16" customHeight="1" s="31">
      <c r="A4" s="36" t="inlineStr">
        <is>
          <t>Cell</t>
        </is>
      </c>
      <c r="B4" s="36" t="inlineStr">
        <is>
          <t>Old Value</t>
        </is>
      </c>
      <c r="C4" s="36" t="inlineStr">
        <is>
          <t>New Value</t>
        </is>
      </c>
      <c r="D4" s="36" t="inlineStr">
        <is>
          <t>Source / Reason</t>
        </is>
      </c>
    </row>
    <row r="5" ht="30" customHeight="1" s="31">
      <c r="A5" s="37" t="inlineStr">
        <is>
          <t>Assumptions!C10</t>
        </is>
      </c>
      <c r="B5" s="37" t="inlineStr">
        <is>
          <t>$78,000</t>
        </is>
      </c>
      <c r="C5" s="37" t="inlineStr">
        <is>
          <t>$100,688</t>
        </is>
      </c>
      <c r="D5" s="37" t="inlineStr">
        <is>
          <t>BTC anchor: CIFR Q1'26 realized ($34,838K rev ÷ 346 BTC). Prior $78k was stale.</t>
        </is>
      </c>
    </row>
    <row r="6" ht="30" customHeight="1" s="31">
      <c r="A6" s="37" t="inlineStr">
        <is>
          <t>CIFR!C7</t>
        </is>
      </c>
      <c r="B6" s="37" t="inlineStr">
        <is>
          <t>0 MW</t>
        </is>
      </c>
      <c r="C6" s="37" t="inlineStr">
        <is>
          <t>493 MW</t>
        </is>
      </c>
      <c r="D6" s="37" t="inlineStr">
        <is>
          <t>Signed-not-energized: Barber Lake 207MW (Fluidstack) + Black Pearl 216MW (Amazon) + Stingray 70MW. Q1'26 10-Q project disclosures.</t>
        </is>
      </c>
    </row>
    <row r="7" ht="30" customHeight="1" s="31">
      <c r="A7" s="37" t="inlineStr">
        <is>
          <t>CIFR!C10</t>
        </is>
      </c>
      <c r="B7" s="37" t="inlineStr">
        <is>
          <t>700 MW</t>
        </is>
      </c>
      <c r="C7" s="37" t="inlineStr">
        <is>
          <t>207 MW</t>
        </is>
      </c>
      <c r="D7" s="37" t="inlineStr">
        <is>
          <t>Pipeline: signed leases moved to C7; ~207 MW remaining unsigned/dev capacity.</t>
        </is>
      </c>
    </row>
    <row r="8" ht="30" customHeight="1" s="31">
      <c r="A8" s="37" t="inlineStr">
        <is>
          <t>CIFR!C12</t>
        </is>
      </c>
      <c r="B8" s="37" t="inlineStr">
        <is>
          <t>$70,820K</t>
        </is>
      </c>
      <c r="C8" s="37" t="inlineStr">
        <is>
          <t>$72,000K</t>
        </is>
      </c>
      <c r="D8" s="37" t="inlineStr">
        <is>
          <t>Mining cost: Q1'26 10-Q CoR $18,000K/q × 4 = $72,000K/yr.</t>
        </is>
      </c>
    </row>
    <row r="9" ht="30" customHeight="1" s="31">
      <c r="A9" s="37" t="inlineStr">
        <is>
          <t>CIFR!C13</t>
        </is>
      </c>
      <c r="B9" s="37" t="inlineStr">
        <is>
          <t>792 BTC</t>
        </is>
      </c>
      <c r="C9" s="37" t="inlineStr">
        <is>
          <t>1,116 BTC</t>
        </is>
      </c>
      <c r="D9" s="37" t="inlineStr">
        <is>
          <t>BTC treasury: Q1'26 10-Q 'digital assets held 1,116 BTC at FV $111.5M'. Prior 792 was stale.</t>
        </is>
      </c>
    </row>
    <row r="10" ht="30" customHeight="1" s="31"/>
    <row r="11" ht="30" customHeight="1" s="31">
      <c r="A11" s="38" t="inlineStr">
        <is>
          <t>STILL NEEDS VERIFICATION (EDGAR blocked — cannot pull directly):</t>
        </is>
      </c>
    </row>
    <row r="12" ht="30" customHeight="1" s="31">
      <c r="A12" s="39" t="inlineStr">
        <is>
          <t>WULF!C15</t>
        </is>
      </c>
      <c r="B12" s="39" t="inlineStr">
        <is>
          <t>$80,000K SBC</t>
        </is>
      </c>
      <c r="C12" s="39" t="inlineStr">
        <is>
          <t>UNVERIFIED</t>
        </is>
      </c>
      <c r="D12" s="39" t="inlineStr">
        <is>
          <t>FY25 10-K SG&amp;A cites ~$20M vs Q1'26 cash-flow $101M. EDGAR access blocked — VERIFY.</t>
        </is>
      </c>
    </row>
    <row r="13" ht="30" customHeight="1" s="31">
      <c r="A13" s="39" t="inlineStr">
        <is>
          <t>CORZ!C14</t>
        </is>
      </c>
      <c r="B13" s="39" t="inlineStr">
        <is>
          <t>$150,000K SG&amp;A</t>
        </is>
      </c>
      <c r="C13" s="39" t="inlineStr">
        <is>
          <t>ESTIMATE</t>
        </is>
      </c>
      <c r="D13" s="39" t="inlineStr">
        <is>
          <t>SG&amp;A not confirmed from SEC filing. Mark ESTIMATE until verified.</t>
        </is>
      </c>
    </row>
    <row r="14" ht="30" customHeight="1" s="31">
      <c r="A14" s="39" t="inlineStr">
        <is>
          <t>CLSK!C14</t>
        </is>
      </c>
      <c r="B14" s="39" t="inlineStr">
        <is>
          <t>$120,000K SG&amp;A</t>
        </is>
      </c>
      <c r="C14" s="39" t="inlineStr">
        <is>
          <t>ESTIMATE</t>
        </is>
      </c>
      <c r="D14" s="39" t="inlineStr">
        <is>
          <t>SG&amp;A not confirmed from SEC filing.</t>
        </is>
      </c>
    </row>
    <row r="15" ht="30" customHeight="1" s="31">
      <c r="A15" s="39" t="inlineStr">
        <is>
          <t>CLSK!C15</t>
        </is>
      </c>
      <c r="B15" s="39" t="inlineStr">
        <is>
          <t>$70,000K SBC</t>
        </is>
      </c>
      <c r="C15" s="39" t="inlineStr">
        <is>
          <t>ESTIMATE</t>
        </is>
      </c>
      <c r="D15" s="39" t="inlineStr">
        <is>
          <t>SBC not confirmed from SEC filing.</t>
        </is>
      </c>
    </row>
    <row r="16" ht="30" customHeight="1" s="31">
      <c r="A16" s="39" t="inlineStr">
        <is>
          <t>HUT!C7</t>
        </is>
      </c>
      <c r="B16" s="39" t="inlineStr">
        <is>
          <t>0 MW</t>
        </is>
      </c>
      <c r="C16" s="39" t="inlineStr">
        <is>
          <t>UNVERIFIED</t>
        </is>
      </c>
      <c r="D16" s="39" t="inlineStr">
        <is>
          <t>HUT signed AI DC leases ($16.8B TCV) → MW equivalent not confirmed from SEC filing. Needs 10-Q review.</t>
        </is>
      </c>
    </row>
    <row r="17" ht="30" customHeight="1" s="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9"/>
  <sheetViews>
    <sheetView showGridLines="0" workbookViewId="0">
      <selection activeCell="A1" sqref="A1"/>
    </sheetView>
  </sheetViews>
  <sheetFormatPr baseColWidth="8" defaultColWidth="8.85546875" defaultRowHeight="15"/>
  <cols>
    <col width="3" customWidth="1" style="31" min="1" max="1"/>
    <col width="48" customWidth="1" style="31" min="2" max="2"/>
    <col width="13" customWidth="1" style="31" min="3" max="3"/>
    <col width="54" customWidth="1" style="31" min="4" max="4"/>
  </cols>
  <sheetData>
    <row r="1" ht="24" customHeight="1" s="31">
      <c r="B1" s="30" t="inlineStr">
        <is>
          <t>GLOBAL ASSUMPTIONS — drive every company tab</t>
        </is>
      </c>
    </row>
    <row r="2" ht="18" customHeight="1" s="31">
      <c r="B2" s="32" t="inlineStr">
        <is>
          <t>BITCOIN &amp; MINING</t>
        </is>
      </c>
    </row>
    <row r="3">
      <c r="B3" s="4" t="inlineStr">
        <is>
          <t>BTC price — Bear ($)</t>
        </is>
      </c>
      <c r="C3" s="5" t="n">
        <v>45000</v>
      </c>
      <c r="D3" s="6" t="inlineStr">
        <is>
          <t>Scenario low</t>
        </is>
      </c>
    </row>
    <row r="4">
      <c r="B4" s="4" t="inlineStr">
        <is>
          <t>BTC price — Base ($)</t>
        </is>
      </c>
      <c r="C4" s="5" t="n">
        <v>95000</v>
      </c>
      <c r="D4" s="6" t="inlineStr">
        <is>
          <t>INPUT — set to current spot / your base view</t>
        </is>
      </c>
    </row>
    <row r="5">
      <c r="B5" s="4" t="inlineStr">
        <is>
          <t>BTC price — Bull ($)</t>
        </is>
      </c>
      <c r="C5" s="5" t="n">
        <v>150000</v>
      </c>
      <c r="D5" s="6" t="inlineStr">
        <is>
          <t>Scenario high</t>
        </is>
      </c>
    </row>
    <row r="6">
      <c r="B6" s="4" t="inlineStr">
        <is>
          <t>Weight — Bear</t>
        </is>
      </c>
      <c r="C6" s="7" t="n">
        <v>0.25</v>
      </c>
      <c r="D6" s="6" t="inlineStr">
        <is>
          <t>Scenario probabilities (sum to 100%)</t>
        </is>
      </c>
    </row>
    <row r="7">
      <c r="B7" s="4" t="inlineStr">
        <is>
          <t>Weight — Base</t>
        </is>
      </c>
      <c r="C7" s="7" t="n">
        <v>0.5</v>
      </c>
      <c r="D7" s="6" t="n"/>
    </row>
    <row r="8">
      <c r="B8" s="4" t="inlineStr">
        <is>
          <t>Weight — Bull</t>
        </is>
      </c>
      <c r="C8" s="7" t="n">
        <v>0.25</v>
      </c>
      <c r="D8" s="6" t="n"/>
    </row>
    <row r="9">
      <c r="B9" s="4" t="inlineStr">
        <is>
          <t>BTC price — probability-weighted ($)</t>
        </is>
      </c>
      <c r="C9" s="5">
        <f>C3*C6+C4*C7+C5*C8</f>
        <v/>
      </c>
      <c r="D9" s="6" t="inlineStr">
        <is>
          <t>Drives mining revenue &amp; treasury mark</t>
        </is>
      </c>
    </row>
    <row r="10">
      <c r="B10" s="4" t="inlineStr">
        <is>
          <t>BTC anchor price during reporting qtr ($)</t>
        </is>
      </c>
      <c r="C10" s="40" t="n">
        <v>100688</v>
      </c>
      <c r="D10" s="6" t="inlineStr">
        <is>
          <t>UPDATED: Q1'26 realized (CIFR $34,838K ÷ 346 BTC). Was $78,000.</t>
        </is>
      </c>
    </row>
    <row r="11">
      <c r="B11" s="4" t="inlineStr">
        <is>
          <t>Annual difficulty / hashrate growth</t>
        </is>
      </c>
      <c r="C11" s="7" t="n">
        <v>0.15</v>
      </c>
      <c r="D11" s="6" t="inlineStr">
        <is>
          <t>Drags BTC volume over time</t>
        </is>
      </c>
    </row>
    <row r="12">
      <c r="B12" s="4" t="inlineStr">
        <is>
          <t>Mining horizon (yrs, finite life)</t>
        </is>
      </c>
      <c r="C12" s="8" t="n">
        <v>5</v>
      </c>
      <c r="D12" s="6" t="inlineStr">
        <is>
          <t>No perpetuity — mining terminal value ~0</t>
        </is>
      </c>
    </row>
    <row r="13">
      <c r="B13" s="4" t="inlineStr">
        <is>
          <t>Mining discount rate</t>
        </is>
      </c>
      <c r="C13" s="7" t="n">
        <v>0.2</v>
      </c>
      <c r="D13" s="6" t="inlineStr">
        <is>
          <t>High — commodity / obsolescence / halving</t>
        </is>
      </c>
    </row>
    <row r="14">
      <c r="B14" s="4" t="inlineStr">
        <is>
          <t>Mining maintenance capex (% of gross profit)</t>
        </is>
      </c>
      <c r="C14" s="7" t="n">
        <v>0.25</v>
      </c>
      <c r="D14" s="6" t="inlineStr">
        <is>
          <t>Fleet replacement</t>
        </is>
      </c>
    </row>
    <row r="15" ht="18" customHeight="1" s="31">
      <c r="B15" s="32" t="inlineStr">
        <is>
          <t>LANDLORD  (Morgan Stanley framework)</t>
        </is>
      </c>
    </row>
    <row r="16">
      <c r="B16" s="4" t="inlineStr">
        <is>
          <t>Signed colocation WACC</t>
        </is>
      </c>
      <c r="C16" s="7" t="n">
        <v>0.1</v>
      </c>
      <c r="D16" s="6" t="inlineStr">
        <is>
          <t>9-12% by tenant credit &amp; funding risk</t>
        </is>
      </c>
    </row>
    <row r="17">
      <c r="B17" s="4" t="inlineStr">
        <is>
          <t>Pipeline WACC</t>
        </is>
      </c>
      <c r="C17" s="7" t="n">
        <v>0.11</v>
      </c>
      <c r="D17" s="6" t="inlineStr">
        <is>
          <t>Higher — unsigned / early-stage</t>
        </is>
      </c>
    </row>
    <row r="18">
      <c r="B18" s="4" t="inlineStr">
        <is>
          <t>Hosting WACC</t>
        </is>
      </c>
      <c r="C18" s="7" t="n">
        <v>0.13</v>
      </c>
      <c r="D18" s="6" t="inlineStr">
        <is>
          <t>3rd-party mining hosting</t>
        </is>
      </c>
    </row>
    <row r="19">
      <c r="B19" s="4" t="inlineStr">
        <is>
          <t>Colocation NOI margin</t>
        </is>
      </c>
      <c r="C19" s="7" t="n">
        <v>0.85</v>
      </c>
      <c r="D19" s="6" t="inlineStr">
        <is>
          <t>Gross lease → NOI; triple-net can be higher</t>
        </is>
      </c>
    </row>
    <row r="20">
      <c r="B20" s="4" t="inlineStr">
        <is>
          <t>Signed deal signing probability</t>
        </is>
      </c>
      <c r="C20" s="7" t="n">
        <v>1</v>
      </c>
      <c r="D20" s="6" t="inlineStr">
        <is>
          <t>Already signed</t>
        </is>
      </c>
    </row>
    <row r="21">
      <c r="B21" s="4" t="inlineStr">
        <is>
          <t>Construction / COD probability (signed)</t>
        </is>
      </c>
      <c r="C21" s="7" t="n">
        <v>0.85</v>
      </c>
      <c r="D21" s="6" t="inlineStr">
        <is>
          <t>Execution risk on signed-but-unbuilt</t>
        </is>
      </c>
    </row>
    <row r="22">
      <c r="B22" s="4" t="inlineStr">
        <is>
          <t>Pipeline COD probability (unsigned)</t>
        </is>
      </c>
      <c r="C22" s="7" t="n">
        <v>0.5</v>
      </c>
      <c r="D22" s="6" t="inlineStr">
        <is>
          <t>Execution risk on unsigned pipeline</t>
        </is>
      </c>
    </row>
    <row r="23">
      <c r="B23" s="4" t="inlineStr">
        <is>
          <t>Un-leased powered-MW lease-up probability</t>
        </is>
      </c>
      <c r="C23" s="7" t="n">
        <v>0.6</v>
      </c>
      <c r="D23" s="6" t="inlineStr">
        <is>
          <t>Powered, no tenant yet</t>
        </is>
      </c>
    </row>
    <row r="24">
      <c r="B24" s="4" t="inlineStr">
        <is>
          <t>Pipeline time-to-COD discount factor</t>
        </is>
      </c>
      <c r="C24" s="7" t="n">
        <v>0.7</v>
      </c>
      <c r="D24" s="6" t="inlineStr">
        <is>
          <t>Years until cash flows start</t>
        </is>
      </c>
    </row>
    <row r="25">
      <c r="B25" s="4" t="inlineStr">
        <is>
          <t>HPC NOI $/MW/yr — generic ($000)</t>
        </is>
      </c>
      <c r="C25" s="9" t="n">
        <v>1100</v>
      </c>
      <c r="D25" s="6" t="inlineStr">
        <is>
          <t>Fallback for un-leased/pipeline (no disclosed rate)</t>
        </is>
      </c>
    </row>
    <row r="26">
      <c r="B26" s="4" t="inlineStr">
        <is>
          <t>Hosting NOI $/MW/yr ($000)</t>
        </is>
      </c>
      <c r="C26" s="9" t="n">
        <v>350</v>
      </c>
      <c r="D26" s="6" t="inlineStr">
        <is>
          <t>If no disclosed hosting revenue</t>
        </is>
      </c>
    </row>
    <row r="27">
      <c r="B27" s="4" t="inlineStr">
        <is>
          <t>HPC build capex $/MW ($000)</t>
        </is>
      </c>
      <c r="C27" s="9" t="n">
        <v>9000</v>
      </c>
      <c r="D27" s="6" t="inlineStr">
        <is>
          <t>Powered shell+cooling; tenant funds GPUs</t>
        </is>
      </c>
    </row>
    <row r="28" ht="18" customHeight="1" s="31">
      <c r="B28" s="32" t="inlineStr">
        <is>
          <t>BRIDGE</t>
        </is>
      </c>
    </row>
    <row r="29">
      <c r="B29" s="4" t="inlineStr">
        <is>
          <t>Corporate overhead cap rate</t>
        </is>
      </c>
      <c r="C29" s="7" t="n">
        <v>0.12</v>
      </c>
      <c r="D29" s="6" t="inlineStr">
        <is>
          <t>Capitalizes cash SG&amp;A (net of stock-comp)</t>
        </is>
      </c>
    </row>
  </sheetData>
  <mergeCells count="4">
    <mergeCell ref="B15:D15"/>
    <mergeCell ref="B28:D28"/>
    <mergeCell ref="B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5"/>
  <sheetViews>
    <sheetView showGridLines="0" workbookViewId="0">
      <selection activeCell="D8" sqref="D8"/>
    </sheetView>
  </sheetViews>
  <sheetFormatPr baseColWidth="8" defaultColWidth="8.85546875" defaultRowHeight="15"/>
  <cols>
    <col width="3" customWidth="1" style="31" min="1" max="1"/>
    <col width="7" customWidth="1" style="31" min="2" max="2"/>
    <col width="26" customWidth="1" style="31" min="3" max="3"/>
    <col width="14" customWidth="1" style="31" min="4" max="4"/>
    <col width="15" customWidth="1" style="31" min="5" max="5"/>
    <col width="11" customWidth="1" style="31" min="6" max="6"/>
    <col width="12" customWidth="1" style="31" min="7" max="7"/>
    <col width="14" customWidth="1" style="31" min="8" max="8"/>
    <col width="11" customWidth="1" style="31" min="9" max="9"/>
  </cols>
  <sheetData>
    <row r="1" ht="24" customHeight="1" s="31">
      <c r="B1" s="30" t="inlineStr">
        <is>
          <t>SUMMARY — intrinsic vs market (fill market caps on each company tab)</t>
        </is>
      </c>
    </row>
    <row r="3">
      <c r="B3" s="10" t="inlineStr">
        <is>
          <t>Ticker</t>
        </is>
      </c>
      <c r="C3" s="10" t="inlineStr">
        <is>
          <t>Company</t>
        </is>
      </c>
      <c r="D3" s="10" t="inlineStr">
        <is>
          <t>Intrinsic EV</t>
        </is>
      </c>
      <c r="E3" s="10" t="inlineStr">
        <is>
          <t>Intrinsic equity</t>
        </is>
      </c>
      <c r="F3" s="10" t="inlineStr">
        <is>
          <t>$/share</t>
        </is>
      </c>
      <c r="G3" s="10" t="inlineStr">
        <is>
          <t>EV/sec.MW</t>
        </is>
      </c>
      <c r="H3" s="10" t="inlineStr">
        <is>
          <t>Market cap</t>
        </is>
      </c>
      <c r="I3" s="10" t="inlineStr">
        <is>
          <t>Upside</t>
        </is>
      </c>
    </row>
    <row r="4">
      <c r="B4" s="4" t="inlineStr">
        <is>
          <t>CORZ</t>
        </is>
      </c>
      <c r="C4" s="11" t="inlineStr">
        <is>
          <t>Core Scientific</t>
        </is>
      </c>
      <c r="D4" s="12">
        <f>CORZ!C42</f>
        <v/>
      </c>
      <c r="E4" s="12">
        <f>CORZ!C43</f>
        <v/>
      </c>
      <c r="F4" s="41">
        <f>CORZ!C44</f>
        <v/>
      </c>
      <c r="G4" s="12">
        <f>CORZ!C45</f>
        <v/>
      </c>
      <c r="H4" s="12">
        <f>CORZ!C48</f>
        <v/>
      </c>
      <c r="I4" s="14">
        <f>CORZ!C50</f>
        <v/>
      </c>
    </row>
    <row r="5">
      <c r="B5" s="4" t="inlineStr">
        <is>
          <t>APLD</t>
        </is>
      </c>
      <c r="C5" s="11" t="inlineStr">
        <is>
          <t>Applied Digital</t>
        </is>
      </c>
      <c r="D5" s="12">
        <f>APLD!C42</f>
        <v/>
      </c>
      <c r="E5" s="12">
        <f>APLD!C43</f>
        <v/>
      </c>
      <c r="F5" s="41">
        <f>APLD!C44</f>
        <v/>
      </c>
      <c r="G5" s="12">
        <f>APLD!C45</f>
        <v/>
      </c>
      <c r="H5" s="12">
        <f>APLD!C48</f>
        <v/>
      </c>
      <c r="I5" s="14">
        <f>APLD!C50</f>
        <v/>
      </c>
    </row>
    <row r="6">
      <c r="B6" s="4" t="inlineStr">
        <is>
          <t>WULF</t>
        </is>
      </c>
      <c r="C6" s="11" t="inlineStr">
        <is>
          <t>TeraWulf</t>
        </is>
      </c>
      <c r="D6" s="12">
        <f>WULF!C42</f>
        <v/>
      </c>
      <c r="E6" s="12">
        <f>WULF!C43</f>
        <v/>
      </c>
      <c r="F6" s="41">
        <f>WULF!C44</f>
        <v/>
      </c>
      <c r="G6" s="12">
        <f>WULF!C45</f>
        <v/>
      </c>
      <c r="H6" s="12">
        <f>WULF!C48</f>
        <v/>
      </c>
      <c r="I6" s="14">
        <f>WULF!C50</f>
        <v/>
      </c>
    </row>
    <row r="7">
      <c r="B7" s="4" t="inlineStr">
        <is>
          <t>RIOT</t>
        </is>
      </c>
      <c r="C7" s="11" t="inlineStr">
        <is>
          <t>Riot Platforms</t>
        </is>
      </c>
      <c r="D7" s="12">
        <f>RIOT!C42</f>
        <v/>
      </c>
      <c r="E7" s="12">
        <f>RIOT!C43</f>
        <v/>
      </c>
      <c r="F7" s="41">
        <f>RIOT!C44</f>
        <v/>
      </c>
      <c r="G7" s="12">
        <f>RIOT!C45</f>
        <v/>
      </c>
      <c r="H7" s="12">
        <f>RIOT!C48</f>
        <v/>
      </c>
      <c r="I7" s="14">
        <f>RIOT!C50</f>
        <v/>
      </c>
    </row>
    <row r="8">
      <c r="B8" s="4" t="inlineStr">
        <is>
          <t>HUT</t>
        </is>
      </c>
      <c r="C8" s="11" t="inlineStr">
        <is>
          <t>Hut 8</t>
        </is>
      </c>
      <c r="D8" s="12">
        <f>HUT!C42</f>
        <v/>
      </c>
      <c r="E8" s="12">
        <f>HUT!C43</f>
        <v/>
      </c>
      <c r="F8" s="41">
        <f>HUT!C44</f>
        <v/>
      </c>
      <c r="G8" s="12">
        <f>HUT!C45</f>
        <v/>
      </c>
      <c r="H8" s="12">
        <f>HUT!C48</f>
        <v/>
      </c>
      <c r="I8" s="14">
        <f>HUT!C50</f>
        <v/>
      </c>
    </row>
    <row r="9">
      <c r="B9" s="4" t="inlineStr">
        <is>
          <t>CIFR</t>
        </is>
      </c>
      <c r="C9" s="11" t="inlineStr">
        <is>
          <t>Cipher Digital</t>
        </is>
      </c>
      <c r="D9" s="12">
        <f>CIFR!C42</f>
        <v/>
      </c>
      <c r="E9" s="12">
        <f>CIFR!C43</f>
        <v/>
      </c>
      <c r="F9" s="41">
        <f>CIFR!C44</f>
        <v/>
      </c>
      <c r="G9" s="12">
        <f>CIFR!C45</f>
        <v/>
      </c>
      <c r="H9" s="12">
        <f>CIFR!C48</f>
        <v/>
      </c>
      <c r="I9" s="14">
        <f>CIFR!C50</f>
        <v/>
      </c>
    </row>
    <row r="10">
      <c r="B10" s="4" t="inlineStr">
        <is>
          <t>CLSK</t>
        </is>
      </c>
      <c r="C10" s="11" t="inlineStr">
        <is>
          <t>CleanSpark</t>
        </is>
      </c>
      <c r="D10" s="12">
        <f>CLSK!C42</f>
        <v/>
      </c>
      <c r="E10" s="12">
        <f>CLSK!C43</f>
        <v/>
      </c>
      <c r="F10" s="41">
        <f>CLSK!C44</f>
        <v/>
      </c>
      <c r="G10" s="12">
        <f>CLSK!C45</f>
        <v/>
      </c>
      <c r="H10" s="12">
        <f>CLSK!C48</f>
        <v/>
      </c>
      <c r="I10" s="14">
        <f>CLSK!C50</f>
        <v/>
      </c>
    </row>
    <row r="11">
      <c r="B11" s="4" t="inlineStr">
        <is>
          <t>KEEL</t>
        </is>
      </c>
      <c r="C11" s="11" t="inlineStr">
        <is>
          <t>Keel (fka Bitfarms/Stronghold)</t>
        </is>
      </c>
      <c r="D11" s="12">
        <f>KEEL!C42</f>
        <v/>
      </c>
      <c r="E11" s="12">
        <f>KEEL!C43</f>
        <v/>
      </c>
      <c r="F11" s="41">
        <f>KEEL!C44</f>
        <v/>
      </c>
      <c r="G11" s="12">
        <f>KEEL!C45</f>
        <v/>
      </c>
      <c r="H11" s="12">
        <f>KEEL!C48</f>
        <v/>
      </c>
      <c r="I11" s="14">
        <f>KEEL!C50</f>
        <v/>
      </c>
    </row>
    <row r="12">
      <c r="B12" s="4" t="inlineStr">
        <is>
          <t>SLNH</t>
        </is>
      </c>
      <c r="C12" s="11" t="inlineStr">
        <is>
          <t>Soluna Holdings</t>
        </is>
      </c>
      <c r="D12" s="12">
        <f>SLNH!C42</f>
        <v/>
      </c>
      <c r="E12" s="12">
        <f>SLNH!C43</f>
        <v/>
      </c>
      <c r="F12" s="41">
        <f>SLNH!C44</f>
        <v/>
      </c>
      <c r="G12" s="12">
        <f>SLNH!C45</f>
        <v/>
      </c>
      <c r="H12" s="12">
        <f>SLNH!C48</f>
        <v/>
      </c>
      <c r="I12" s="14">
        <f>SLNH!C50</f>
        <v/>
      </c>
    </row>
    <row r="13">
      <c r="B13" s="4" t="inlineStr">
        <is>
          <t>GLXY</t>
        </is>
      </c>
      <c r="C13" s="11" t="inlineStr">
        <is>
          <t>Galaxy Digital</t>
        </is>
      </c>
      <c r="D13" s="12">
        <f>GLXY!C42</f>
        <v/>
      </c>
      <c r="E13" s="12">
        <f>GLXY!C43</f>
        <v/>
      </c>
      <c r="F13" s="41">
        <f>GLXY!C44</f>
        <v/>
      </c>
      <c r="G13" s="12">
        <f>GLXY!C45</f>
        <v/>
      </c>
      <c r="H13" s="12">
        <f>GLXY!C48</f>
        <v/>
      </c>
      <c r="I13" s="14">
        <f>GLXY!C50</f>
        <v/>
      </c>
    </row>
    <row r="15">
      <c r="C15" s="33" t="inlineStr">
        <is>
          <t>Note: GLXY equity is NOT meaningful here (financial-services value excluded). APLD/SLNH/HUT equity is minority-adjusted (NCI deducted). Fill yellow market-cap cells on each tab to populate upside.</t>
        </is>
      </c>
    </row>
  </sheetData>
  <mergeCells count="2">
    <mergeCell ref="C15:I15"/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57"/>
  <sheetViews>
    <sheetView showGridLines="0" workbookViewId="0">
      <selection activeCell="E13" sqref="E13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CORZ — Core Scientific   |   Pure landlord (CoreWeave colocation)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310156</v>
      </c>
    </row>
    <row r="6">
      <c r="B6" s="4" t="inlineStr">
        <is>
          <t xml:space="preserve">  underlying billable MW (#)</t>
        </is>
      </c>
      <c r="C6" s="9" t="n">
        <v>225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365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685</v>
      </c>
    </row>
    <row r="9">
      <c r="B9" s="4" t="inlineStr">
        <is>
          <t>Hosting revenue, ann. ($000)</t>
        </is>
      </c>
      <c r="C9" s="9" t="n">
        <v>30400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585</v>
      </c>
    </row>
    <row r="11">
      <c r="B11" s="4" t="inlineStr">
        <is>
          <t>Mining revenue, annualized ($000)</t>
        </is>
      </c>
      <c r="C11" s="9" t="n">
        <v>120420</v>
      </c>
    </row>
    <row r="12">
      <c r="B12" s="4" t="inlineStr">
        <is>
          <t>Mining power/direct cost, ann. ($000)</t>
        </is>
      </c>
      <c r="C12" s="9" t="n">
        <v>188756</v>
      </c>
    </row>
    <row r="13">
      <c r="B13" s="4" t="inlineStr">
        <is>
          <t>BTC held in treasury (#)</t>
        </is>
      </c>
      <c r="C13" s="9" t="n">
        <v>0</v>
      </c>
    </row>
    <row r="14">
      <c r="B14" s="4" t="inlineStr">
        <is>
          <t>Corporate SG&amp;A, annual ($000)</t>
        </is>
      </c>
      <c r="C14" s="9" t="n">
        <v>150000</v>
      </c>
      <c r="D14" s="6" t="inlineStr">
        <is>
          <t>ESTIMATE — verify</t>
        </is>
      </c>
    </row>
    <row r="15">
      <c r="B15" s="4" t="inlineStr">
        <is>
          <t xml:space="preserve">  of which stock-based comp ($000)</t>
        </is>
      </c>
      <c r="C15" s="9" t="n">
        <v>98236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2085000</v>
      </c>
    </row>
    <row r="17">
      <c r="B17" s="4" t="inlineStr">
        <is>
          <t>Cash ($000)</t>
        </is>
      </c>
      <c r="C17" s="9" t="n">
        <v>1005148</v>
      </c>
    </row>
    <row r="18">
      <c r="B18" s="4" t="inlineStr">
        <is>
          <t>Noncontrolling interest ($000)</t>
        </is>
      </c>
      <c r="C18" s="9" t="n">
        <v>0</v>
      </c>
    </row>
    <row r="19">
      <c r="B19" s="4" t="inlineStr">
        <is>
          <t>Diluted shares (M)</t>
        </is>
      </c>
      <c r="C19" s="42" t="n">
        <v>317.9</v>
      </c>
    </row>
    <row r="20">
      <c r="B20" s="4" t="inlineStr">
        <is>
          <t>Total secured power (MW)</t>
        </is>
      </c>
      <c r="C20" s="9" t="n">
        <v>1860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8670000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4" t="inlineStr">
        <is>
          <t>SOURCE</t>
        </is>
      </c>
    </row>
    <row r="53">
      <c r="B53" s="22" t="inlineStr">
        <is>
          <t>10-Q Q1'26 BS: cash $1,005,148K; debt = Term Loan $1.0B + 2029 conv $460M + 2031 conv $625M; 317.9M sh. Colocation rev $77,539K/q×4 on 225 billable MW (→$1.38M/MW). Hosted-mining $7,600K/q×4. Self-mining rev $30,105K/q×4 vs cost $47,189K/q×4 (loss → floored). Capacity 1,860 gross / 590 leased / 225 billable / 685 unleased. FY25 10-K SBC $98,236K. SG&amp;A est — VERIFY.</t>
        </is>
      </c>
    </row>
    <row r="54"/>
    <row r="55"/>
    <row r="56"/>
    <row r="57"/>
  </sheetData>
  <mergeCells count="9">
    <mergeCell ref="B53:H57"/>
    <mergeCell ref="B1:H1"/>
    <mergeCell ref="B52:H52"/>
    <mergeCell ref="B4:H4"/>
    <mergeCell ref="B39:H39"/>
    <mergeCell ref="B47:H47"/>
    <mergeCell ref="B2:H2"/>
    <mergeCell ref="B31:H31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61"/>
  <sheetViews>
    <sheetView showGridLines="0" topLeftCell="A15" workbookViewId="0">
      <selection activeCell="E50" sqref="E50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APLD — Applied Digital   |   Hosting + HPC landlord (CoreWeave); no self-mining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450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150000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200</v>
      </c>
    </row>
    <row r="11">
      <c r="B11" s="4" t="inlineStr">
        <is>
          <t>Mining revenue, annualized ($000)</t>
        </is>
      </c>
      <c r="C11" s="9" t="n">
        <v>0</v>
      </c>
    </row>
    <row r="12">
      <c r="B12" s="4" t="inlineStr">
        <is>
          <t>Mining power/direct cost, ann. ($000)</t>
        </is>
      </c>
      <c r="C12" s="9" t="n">
        <v>0</v>
      </c>
    </row>
    <row r="13">
      <c r="B13" s="4" t="inlineStr">
        <is>
          <t>BTC held in treasury (#)</t>
        </is>
      </c>
      <c r="C13" s="9" t="n">
        <v>0</v>
      </c>
    </row>
    <row r="14">
      <c r="B14" s="4" t="inlineStr">
        <is>
          <t>Corporate SG&amp;A, annual ($000)</t>
        </is>
      </c>
      <c r="C14" s="9" t="n">
        <v>318892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40932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2666154</v>
      </c>
    </row>
    <row r="17">
      <c r="B17" s="4" t="inlineStr">
        <is>
          <t>Cash ($000)</t>
        </is>
      </c>
      <c r="C17" s="9" t="n">
        <v>1730440</v>
      </c>
    </row>
    <row r="18">
      <c r="B18" s="4" t="inlineStr">
        <is>
          <t>Noncontrolling interest ($000)</t>
        </is>
      </c>
      <c r="C18" s="9" t="n">
        <v>923065</v>
      </c>
    </row>
    <row r="19">
      <c r="B19" s="4" t="inlineStr">
        <is>
          <t>Diluted shares (M)</t>
        </is>
      </c>
      <c r="C19" s="42" t="n">
        <v>285.8</v>
      </c>
    </row>
    <row r="20">
      <c r="B20" s="4" t="inlineStr">
        <is>
          <t>Total secured power (MW)</t>
        </is>
      </c>
      <c r="C20" s="9" t="n">
        <v>900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11700000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7" t="inlineStr">
        <is>
          <t>OTHER SEGMENTS — NOT VALUED HERE (flagged)</t>
        </is>
      </c>
    </row>
    <row r="53">
      <c r="B53" s="29" t="inlineStr">
        <is>
          <t>Cloud Services (GPU) business — retained after held-for-sale reversal — NOT valued here (services business; value separately like IREN). Redeemable NCI $923.1M (Ellendale/CoreWeave financing) deducted in bridge. No self-mining (hosts 3rd-party miners).</t>
        </is>
      </c>
    </row>
    <row r="54"/>
    <row r="55"/>
    <row r="56" ht="18" customHeight="1" s="31">
      <c r="B56" s="24" t="inlineStr">
        <is>
          <t>SOURCE</t>
        </is>
      </c>
    </row>
    <row r="57">
      <c r="B57" s="22" t="inlineStr">
        <is>
          <t>10-Q Q2 FY26 (Feb 28'26): Data Center Hosting $37,500K/q×4 on 286 MW (Jamestown 106 + Ellendale 180). Polaris Forge 1 100 MW HPC commenced (CoreWeave ~15-yr); signed_mw 450 = Polaris 1 250 (Bldg 2&amp;3) + Polaris 2 200. Cash $1,730,440K; LTD $2,594,501K + fin leases; redeemable NCI $923,065K; 285.8M sh. SG&amp;A $79,723K/q×4; SBC ~$10,233K/q×4.</t>
        </is>
      </c>
    </row>
    <row r="58"/>
    <row r="59"/>
    <row r="60"/>
    <row r="61"/>
  </sheetData>
  <mergeCells count="11">
    <mergeCell ref="B53:H55"/>
    <mergeCell ref="B56:H56"/>
    <mergeCell ref="B1:H1"/>
    <mergeCell ref="B52:H52"/>
    <mergeCell ref="B4:H4"/>
    <mergeCell ref="B39:H39"/>
    <mergeCell ref="B47:H47"/>
    <mergeCell ref="B2:H2"/>
    <mergeCell ref="B57:H61"/>
    <mergeCell ref="B31:H31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57"/>
  <sheetViews>
    <sheetView showGridLines="0" tabSelected="1" workbookViewId="0">
      <selection activeCell="H15" sqref="H15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WULF — TeraWulf   |   Hybrid (mining + signed HPC)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84088</v>
      </c>
    </row>
    <row r="6">
      <c r="B6" s="4" t="inlineStr">
        <is>
          <t xml:space="preserve">  underlying billable MW (#)</t>
        </is>
      </c>
      <c r="C6" s="9" t="n">
        <v>60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260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168</v>
      </c>
    </row>
    <row r="11">
      <c r="B11" s="4" t="inlineStr">
        <is>
          <t>Mining revenue, annualized ($000)</t>
        </is>
      </c>
      <c r="C11" s="9" t="n">
        <v>51960</v>
      </c>
    </row>
    <row r="12">
      <c r="B12" s="4" t="inlineStr">
        <is>
          <t>Mining power/direct cost, ann. ($000)</t>
        </is>
      </c>
      <c r="C12" s="9" t="n">
        <v>31000</v>
      </c>
    </row>
    <row r="13">
      <c r="B13" s="4" t="inlineStr">
        <is>
          <t>BTC held in treasury (#)</t>
        </is>
      </c>
      <c r="C13" s="9" t="n">
        <v>18</v>
      </c>
    </row>
    <row r="14">
      <c r="B14" s="4" t="inlineStr">
        <is>
          <t>Corporate SG&amp;A, annual ($000)</t>
        </is>
      </c>
      <c r="C14" s="9" t="n">
        <v>147800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80000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5191378</v>
      </c>
    </row>
    <row r="17">
      <c r="B17" s="4" t="inlineStr">
        <is>
          <t>Cash ($000)</t>
        </is>
      </c>
      <c r="C17" s="9" t="n">
        <v>2629995</v>
      </c>
    </row>
    <row r="18">
      <c r="B18" s="4" t="inlineStr">
        <is>
          <t>Noncontrolling interest ($000)</t>
        </is>
      </c>
      <c r="C18" s="9" t="n">
        <v>1154</v>
      </c>
    </row>
    <row r="19">
      <c r="B19" s="4" t="inlineStr">
        <is>
          <t>Diluted shares (M)</t>
        </is>
      </c>
      <c r="C19" s="42" t="n">
        <v>495.5</v>
      </c>
    </row>
    <row r="20">
      <c r="B20" s="4" t="inlineStr">
        <is>
          <t>Total secured power (MW)</t>
        </is>
      </c>
      <c r="C20" s="9" t="n">
        <v>525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12910000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4" t="inlineStr">
        <is>
          <t>SOURCE</t>
        </is>
      </c>
    </row>
    <row r="53">
      <c r="B53" s="22" t="inlineStr">
        <is>
          <t>10-Q Q1'26 BS: cash $2,629,995K; debt = curr LTD 43,564 + ST conv 490,354 + LTD 3,060,194 + conv 1,597,266 = $5.19B (VERIFY — big swing); 495.5M sh; NCI 1,154. HPC lease $21,022K/q×4 on 60 energized critical-IT-MW (→$1.40M/MW). Signed_mw 260 = Lake Mariner 320 design − 60 energized (Core42/Fluidstack). Pipeline 168 = Abernathy JV. Digital-asset rev $12,990K/q×4. FY25 10-K SG&amp;A $147.8M; SBC est $80M (10-K cites ~$20M in SG&amp;A vs Q1'26 cash-flow $101M — VERIFY).</t>
        </is>
      </c>
    </row>
    <row r="54"/>
    <row r="55"/>
    <row r="56"/>
    <row r="57"/>
  </sheetData>
  <mergeCells count="9">
    <mergeCell ref="B53:H57"/>
    <mergeCell ref="B1:H1"/>
    <mergeCell ref="B52:H52"/>
    <mergeCell ref="B4:H4"/>
    <mergeCell ref="B39:H39"/>
    <mergeCell ref="B47:H47"/>
    <mergeCell ref="B2:H2"/>
    <mergeCell ref="B31:H31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61"/>
  <sheetViews>
    <sheetView showGridLines="0" topLeftCell="A23" workbookViewId="0">
      <selection activeCell="D50" sqref="D50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RIOT — Riot Platforms   |   Miner + ramping HPC (AMD) + engineering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132600</v>
      </c>
    </row>
    <row r="6">
      <c r="B6" s="4" t="inlineStr">
        <is>
          <t xml:space="preserve">  underlying billable MW (#)</t>
        </is>
      </c>
      <c r="C6" s="9" t="n">
        <v>100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100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400</v>
      </c>
    </row>
    <row r="11">
      <c r="B11" s="4" t="inlineStr">
        <is>
          <t>Mining revenue, annualized ($000)</t>
        </is>
      </c>
      <c r="C11" s="9" t="n">
        <v>447580</v>
      </c>
    </row>
    <row r="12">
      <c r="B12" s="4" t="inlineStr">
        <is>
          <t>Mining power/direct cost, ann. ($000)</t>
        </is>
      </c>
      <c r="C12" s="9" t="n">
        <v>347048</v>
      </c>
    </row>
    <row r="13">
      <c r="B13" s="4" t="inlineStr">
        <is>
          <t>BTC held in treasury (#)</t>
        </is>
      </c>
      <c r="C13" s="9" t="n">
        <v>15679</v>
      </c>
    </row>
    <row r="14">
      <c r="B14" s="4" t="inlineStr">
        <is>
          <t>Corporate SG&amp;A, annual ($000)</t>
        </is>
      </c>
      <c r="C14" s="9" t="n">
        <v>304720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156664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850000</v>
      </c>
    </row>
    <row r="17">
      <c r="B17" s="4" t="inlineStr">
        <is>
          <t>Cash ($000)</t>
        </is>
      </c>
      <c r="C17" s="9" t="n">
        <v>205666</v>
      </c>
    </row>
    <row r="18">
      <c r="B18" s="4" t="inlineStr">
        <is>
          <t>Noncontrolling interest ($000)</t>
        </is>
      </c>
      <c r="C18" s="9" t="n">
        <v>0</v>
      </c>
    </row>
    <row r="19">
      <c r="B19" s="4" t="inlineStr">
        <is>
          <t>Diluted shares (M)</t>
        </is>
      </c>
      <c r="C19" s="42" t="n">
        <v>378.2</v>
      </c>
    </row>
    <row r="20">
      <c r="B20" s="4" t="inlineStr">
        <is>
          <t>Total secured power (MW)</t>
        </is>
      </c>
      <c r="C20" s="9" t="n">
        <v>1262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10500000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7" t="inlineStr">
        <is>
          <t>OTHER SEGMENTS — NOT VALUED HERE (flagged)</t>
        </is>
      </c>
    </row>
    <row r="53">
      <c r="B53" s="29" t="inlineStr">
        <is>
          <t>Engineering/electrical-products segment (~$89M/yr) not valued here. Data Center inputs are APPROXIMATE — the $33.2M/q segment blends AMD HPC rent with Corsicana power/leasing, not pure HPC. Debt ~$850M is an estimate (2030 conv $594.5M + $200M BTC-backed facility + $54.3M revolver) — VERIFY.</t>
        </is>
      </c>
    </row>
    <row r="54"/>
    <row r="55"/>
    <row r="56" ht="18" customHeight="1" s="31">
      <c r="B56" s="24" t="inlineStr">
        <is>
          <t>SOURCE</t>
        </is>
      </c>
    </row>
    <row r="57">
      <c r="B57" s="22" t="inlineStr">
        <is>
          <t>10-Q Q1'26: Bitcoin Mining $111,895K/q×4; Data Center $33,150K/q×4; Engineering $22,174K/q×4; 42.5 EH/s; mined 1,473/q; held 15,679 BTC; cash $205,666K; 378.2M sh. SG&amp;A $76,180K/q×4; SBC $39,166K/q×4. Rockdale 700 + Corsicana 400 + Kentucky 162 MW.</t>
        </is>
      </c>
    </row>
    <row r="58"/>
    <row r="59"/>
    <row r="60"/>
    <row r="61"/>
  </sheetData>
  <mergeCells count="11">
    <mergeCell ref="B53:H55"/>
    <mergeCell ref="B56:H56"/>
    <mergeCell ref="B1:H1"/>
    <mergeCell ref="B52:H52"/>
    <mergeCell ref="B4:H4"/>
    <mergeCell ref="B39:H39"/>
    <mergeCell ref="B47:H47"/>
    <mergeCell ref="B2:H2"/>
    <mergeCell ref="B57:H61"/>
    <mergeCell ref="B31:H31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61"/>
  <sheetViews>
    <sheetView showGridLines="0" topLeftCell="A25" workbookViewId="0">
      <selection activeCell="C49" sqref="C49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HUT — Hut 8   |   Miner via American Bitcoin (minority) + power/infra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5212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330</v>
      </c>
    </row>
    <row r="11">
      <c r="B11" s="4" t="inlineStr">
        <is>
          <t>Mining revenue, annualized ($000)</t>
        </is>
      </c>
      <c r="C11" s="9" t="n">
        <v>263896</v>
      </c>
    </row>
    <row r="12">
      <c r="B12" s="4" t="inlineStr">
        <is>
          <t>Mining power/direct cost, ann. ($000)</t>
        </is>
      </c>
      <c r="C12" s="9" t="n">
        <v>158338</v>
      </c>
    </row>
    <row r="13">
      <c r="B13" s="4" t="inlineStr">
        <is>
          <t>BTC held in treasury (#)</t>
        </is>
      </c>
      <c r="C13" s="9" t="n">
        <v>16331</v>
      </c>
    </row>
    <row r="14">
      <c r="B14" s="4" t="inlineStr">
        <is>
          <t>Corporate SG&amp;A, annual ($000)</t>
        </is>
      </c>
      <c r="C14" s="9" t="n">
        <v>326960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203496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422911</v>
      </c>
    </row>
    <row r="17">
      <c r="B17" s="4" t="inlineStr">
        <is>
          <t>Cash ($000)</t>
        </is>
      </c>
      <c r="C17" s="9" t="n">
        <v>250000</v>
      </c>
    </row>
    <row r="18">
      <c r="B18" s="4" t="inlineStr">
        <is>
          <t>Noncontrolling interest ($000)</t>
        </is>
      </c>
      <c r="C18" s="9" t="n">
        <v>310337</v>
      </c>
    </row>
    <row r="19">
      <c r="B19" s="4" t="inlineStr">
        <is>
          <t>Diluted shares (M)</t>
        </is>
      </c>
      <c r="C19" s="42" t="n">
        <v>112.6</v>
      </c>
    </row>
    <row r="20">
      <c r="B20" s="4" t="inlineStr">
        <is>
          <t>Total secured power (MW)</t>
        </is>
      </c>
      <c r="C20" s="9" t="n">
        <v>400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13250000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7" t="inlineStr">
        <is>
          <t>OTHER SEGMENTS — NOT VALUED HERE (flagged)</t>
        </is>
      </c>
    </row>
    <row r="53">
      <c r="B53" s="29" t="inlineStr">
        <is>
          <t>Self-mining runs through American Bitcoin Corp (majority-owned, public minority — NCI $310.3M deducted). Power (~$15M/yr) &amp; Digital Infrastructure segments not separately valued. Far North gas JV divested. The 16,331 BTC treasury is largely ABTC's; minority share sits in NCI.</t>
        </is>
      </c>
    </row>
    <row r="54"/>
    <row r="55"/>
    <row r="56" ht="18" customHeight="1" s="31">
      <c r="B56" s="24" t="inlineStr">
        <is>
          <t>SOURCE</t>
        </is>
      </c>
    </row>
    <row r="57">
      <c r="B57" s="22" t="inlineStr">
        <is>
          <t>10-Q Q1'26: 'Compute' (ABTC mining) $65,974K/q×4; Digital Infra $1,303K/q×4 (3rd-party hosting); 112.6M sh; debt = loans/notes curr 199,966 + non-curr 204,784 + leases; NCI $310,337K. SG&amp;A $81,740K/q×4; SBC $50,874K/q×4. BTC held 16,331 (3,090 pledged). Mining cost &amp; cash are ESTIMATES — VERIFY. Vega 205 MW + Drumheller/others.</t>
        </is>
      </c>
    </row>
    <row r="58"/>
    <row r="59"/>
    <row r="60"/>
    <row r="61"/>
  </sheetData>
  <mergeCells count="11">
    <mergeCell ref="B53:H55"/>
    <mergeCell ref="B56:H56"/>
    <mergeCell ref="B1:H1"/>
    <mergeCell ref="B52:H52"/>
    <mergeCell ref="B4:H4"/>
    <mergeCell ref="B39:H39"/>
    <mergeCell ref="B47:H47"/>
    <mergeCell ref="B2:H2"/>
    <mergeCell ref="B57:H61"/>
    <mergeCell ref="B31:H31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57"/>
  <sheetViews>
    <sheetView showGridLines="0" topLeftCell="A18" workbookViewId="0">
      <selection activeCell="D50" sqref="D50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CIFR — Cipher Digital   |   Miner today → future HPC landlord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44" t="n">
        <v>493</v>
      </c>
      <c r="D7" s="6" t="inlineStr">
        <is>
          <t>UPDATED: 493 MW signed (Barber Lake 207 + Black Pearl 216 + Stingray 70). Q1'26 10-Q.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45" t="n">
        <v>207</v>
      </c>
      <c r="D10" t="inlineStr">
        <is>
          <t>UPDATED: ~207 MW unsigned pipeline (signed leases moved to C7). Was 700.</t>
        </is>
      </c>
    </row>
    <row r="11">
      <c r="B11" s="4" t="inlineStr">
        <is>
          <t>Mining revenue, annualized ($000)</t>
        </is>
      </c>
      <c r="C11" s="9" t="n">
        <v>139352</v>
      </c>
    </row>
    <row r="12">
      <c r="B12" s="4" t="inlineStr">
        <is>
          <t>Mining power/direct cost, ann. ($000)</t>
        </is>
      </c>
      <c r="C12" s="44" t="n">
        <v>72000</v>
      </c>
      <c r="D12" t="inlineStr">
        <is>
          <t>UPDATED: Q1'26 10-Q CoR $18,000K/q×4. Was $70,820K.</t>
        </is>
      </c>
    </row>
    <row r="13">
      <c r="B13" s="4" t="inlineStr">
        <is>
          <t>BTC held in treasury (#)</t>
        </is>
      </c>
      <c r="C13" s="44" t="n">
        <v>1116</v>
      </c>
      <c r="D13" t="inlineStr">
        <is>
          <t>UPDATED: Q1'26 10-Q: 1,116 BTC @FV $111.5M. Was 792.</t>
        </is>
      </c>
    </row>
    <row r="14">
      <c r="B14" s="4" t="inlineStr">
        <is>
          <t>Corporate SG&amp;A, annual ($000)</t>
        </is>
      </c>
      <c r="C14" s="9" t="n">
        <v>186976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108192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1487078</v>
      </c>
    </row>
    <row r="17">
      <c r="B17" s="4" t="inlineStr">
        <is>
          <t>Cash ($000)</t>
        </is>
      </c>
      <c r="C17" s="9" t="n">
        <v>715203</v>
      </c>
    </row>
    <row r="18">
      <c r="B18" s="4" t="inlineStr">
        <is>
          <t>Noncontrolling interest ($000)</t>
        </is>
      </c>
      <c r="C18" s="9" t="n">
        <v>25679</v>
      </c>
    </row>
    <row r="19">
      <c r="B19" s="4" t="inlineStr">
        <is>
          <t>Diluted shares (M)</t>
        </is>
      </c>
      <c r="C19" s="42" t="n">
        <v>409</v>
      </c>
    </row>
    <row r="20">
      <c r="B20" s="4" t="inlineStr">
        <is>
          <t>Total secured power (MW)</t>
        </is>
      </c>
      <c r="C20" s="9" t="n">
        <v>1207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10500000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4" t="inlineStr">
        <is>
          <t>SOURCE</t>
        </is>
      </c>
    </row>
    <row r="53">
      <c r="B53" s="46" t="inlineStr">
        <is>
          <t>10-Q Q1'26: BTC-mining rev $34,838K/q×4=$139,352K; CoR $18,000K/q×4=$72,000K; 409.0M sh; cash $715,203K; debt $1,487,078K (2031 conv $1.3B + 2030 conv $172.5M); NCI redeemable $25,679K; BTC held 1,116 @FV $111.5M (CORRECTED from 792). Signed-not-energized 493 MW: Barber Lake 207MW/Fluidstack + Black Pearl 216MW/Amazon + Stingray 70MW (CORRECTED from 0). Pipeline 207 MW unsigned (CORRECTED from 700 — signed MW moved above). SG&amp;A = (comp $35,003K + G&amp;A $11,741K)/q×4=$186,976K; SBC $27,048K/q×4=$108,192K. BTC anchor updated to $100,688 (Q1'26 realized rate, was $78,000).</t>
        </is>
      </c>
    </row>
    <row r="54"/>
    <row r="55"/>
    <row r="56"/>
    <row r="57"/>
  </sheetData>
  <mergeCells count="9">
    <mergeCell ref="B53:H57"/>
    <mergeCell ref="B1:H1"/>
    <mergeCell ref="B52:H52"/>
    <mergeCell ref="B4:H4"/>
    <mergeCell ref="B39:H39"/>
    <mergeCell ref="B47:H47"/>
    <mergeCell ref="B2:H2"/>
    <mergeCell ref="B31:H31"/>
    <mergeCell ref="B23:H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57"/>
  <sheetViews>
    <sheetView showGridLines="0" topLeftCell="A19" workbookViewId="0">
      <selection activeCell="E50" sqref="E50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CLSK — CleanSpark   |   Near-pure miner + BTC treasury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300</v>
      </c>
    </row>
    <row r="11">
      <c r="B11" s="4" t="inlineStr">
        <is>
          <t>Mining revenue, annualized ($000)</t>
        </is>
      </c>
      <c r="C11" s="9" t="n">
        <v>545632</v>
      </c>
    </row>
    <row r="12">
      <c r="B12" s="4" t="inlineStr">
        <is>
          <t>Mining power/direct cost, ann. ($000)</t>
        </is>
      </c>
      <c r="C12" s="9" t="n">
        <v>308615</v>
      </c>
    </row>
    <row r="13">
      <c r="B13" s="4" t="inlineStr">
        <is>
          <t>BTC held in treasury (#)</t>
        </is>
      </c>
      <c r="C13" s="9" t="n">
        <v>11920</v>
      </c>
    </row>
    <row r="14">
      <c r="B14" s="4" t="inlineStr">
        <is>
          <t>Corporate SG&amp;A, annual ($000)</t>
        </is>
      </c>
      <c r="C14" s="9" t="n">
        <v>120000</v>
      </c>
      <c r="D14" s="6" t="inlineStr">
        <is>
          <t>ESTIMATE — verify</t>
        </is>
      </c>
    </row>
    <row r="15">
      <c r="B15" s="4" t="inlineStr">
        <is>
          <t xml:space="preserve">  of which stock-based comp ($000)</t>
        </is>
      </c>
      <c r="C15" s="9" t="n">
        <v>70000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1788196</v>
      </c>
    </row>
    <row r="17">
      <c r="B17" s="4" t="inlineStr">
        <is>
          <t>Cash ($000)</t>
        </is>
      </c>
      <c r="C17" s="9" t="n">
        <v>260287</v>
      </c>
    </row>
    <row r="18">
      <c r="B18" s="4" t="inlineStr">
        <is>
          <t>Noncontrolling interest ($000)</t>
        </is>
      </c>
      <c r="C18" s="9" t="n">
        <v>0</v>
      </c>
    </row>
    <row r="19">
      <c r="B19" s="4" t="inlineStr">
        <is>
          <t>Diluted shares (M)</t>
        </is>
      </c>
      <c r="C19" s="42" t="n">
        <v>256.6</v>
      </c>
    </row>
    <row r="20">
      <c r="B20" s="4" t="inlineStr">
        <is>
          <t>Total secured power (MW)</t>
        </is>
      </c>
      <c r="C20" s="9" t="n">
        <v>1809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4070000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4" t="inlineStr">
        <is>
          <t>SOURCE</t>
        </is>
      </c>
    </row>
    <row r="53">
      <c r="B53" s="22" t="inlineStr">
        <is>
          <t>10-Q Q1'26 BS: cash $260,287K; LTD $1,788,196K incl 2032 conv $1,131,850K; 256.6M sh (+103.9M conv). Mining rev $136,408K/q×4; 11,920 BTC held. FY25 10-K $0.057/kWh; $42,890/BTC; 47.3 EH/s; ~1,809 MW (GA/TN/MS/WY). Pipeline = TX/SD AI dev. SG&amp;A &amp; SBC est — VERIFY.</t>
        </is>
      </c>
    </row>
    <row r="54"/>
    <row r="55"/>
    <row r="56"/>
    <row r="57"/>
  </sheetData>
  <mergeCells count="9">
    <mergeCell ref="B53:H57"/>
    <mergeCell ref="B1:H1"/>
    <mergeCell ref="B52:H52"/>
    <mergeCell ref="B4:H4"/>
    <mergeCell ref="B39:H39"/>
    <mergeCell ref="B47:H47"/>
    <mergeCell ref="B2:H2"/>
    <mergeCell ref="B31:H31"/>
    <mergeCell ref="B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57"/>
  <sheetViews>
    <sheetView showGridLines="0" topLeftCell="A26" workbookViewId="0">
      <selection activeCell="C49" sqref="C49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KEEL — Keel (fka Bitfarms/Stronghold)   |   Pure miner (high-cost)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2764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18</v>
      </c>
    </row>
    <row r="11">
      <c r="B11" s="4" t="inlineStr">
        <is>
          <t>Mining revenue, annualized ($000)</t>
        </is>
      </c>
      <c r="C11" s="9" t="n">
        <v>119572</v>
      </c>
    </row>
    <row r="12">
      <c r="B12" s="4" t="inlineStr">
        <is>
          <t>Mining power/direct cost, ann. ($000)</t>
        </is>
      </c>
      <c r="C12" s="9" t="n">
        <v>71743</v>
      </c>
    </row>
    <row r="13">
      <c r="B13" s="4" t="inlineStr">
        <is>
          <t>BTC held in treasury (#)</t>
        </is>
      </c>
      <c r="C13" s="9" t="n">
        <v>0</v>
      </c>
    </row>
    <row r="14">
      <c r="B14" s="4" t="inlineStr">
        <is>
          <t>Corporate SG&amp;A, annual ($000)</t>
        </is>
      </c>
      <c r="C14" s="9" t="n">
        <v>107348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14656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590445</v>
      </c>
    </row>
    <row r="17">
      <c r="B17" s="4" t="inlineStr">
        <is>
          <t>Cash ($000)</t>
        </is>
      </c>
      <c r="C17" s="9" t="n">
        <v>50000</v>
      </c>
    </row>
    <row r="18">
      <c r="B18" s="4" t="inlineStr">
        <is>
          <t>Noncontrolling interest ($000)</t>
        </is>
      </c>
      <c r="C18" s="9" t="n">
        <v>0</v>
      </c>
    </row>
    <row r="19">
      <c r="B19" s="4" t="inlineStr">
        <is>
          <t>Diluted shares (M)</t>
        </is>
      </c>
      <c r="C19" s="42" t="n">
        <v>603.8</v>
      </c>
    </row>
    <row r="20">
      <c r="B20" s="4" t="inlineStr">
        <is>
          <t>Total secured power (MW)</t>
        </is>
      </c>
      <c r="C20" s="9" t="n">
        <v>141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3540000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4" t="inlineStr">
        <is>
          <t>SOURCE</t>
        </is>
      </c>
    </row>
    <row r="53">
      <c r="B53" s="22" t="inlineStr">
        <is>
          <t>10-Q Q1'26: Cryptocurrency Mining rev $29,893K/q×4; Hosting $691K/q×4; earned 388 BTC/q. 603.8M sh (May'26). Debt = curr LTD 4,242 + LTD 573,203 + leases. SG&amp;A $26,837K/q×4; SBC $3,664K/q×4. Mining cost &amp; cash are ESTIMATES — VERIFY. Panther Creek 60 + Scrubgrass 63 MW (PA).</t>
        </is>
      </c>
    </row>
    <row r="54"/>
    <row r="55"/>
    <row r="56"/>
    <row r="57"/>
  </sheetData>
  <mergeCells count="9">
    <mergeCell ref="B53:H57"/>
    <mergeCell ref="B1:H1"/>
    <mergeCell ref="B52:H52"/>
    <mergeCell ref="B4:H4"/>
    <mergeCell ref="B39:H39"/>
    <mergeCell ref="B47:H47"/>
    <mergeCell ref="B2:H2"/>
    <mergeCell ref="B31:H31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H61"/>
  <sheetViews>
    <sheetView showGridLines="0" topLeftCell="A16" workbookViewId="0">
      <selection activeCell="C49" sqref="C49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SLNH — Soluna Holdings   |   Renewable hosting + small mining (JV-heavy)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26752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40</v>
      </c>
    </row>
    <row r="11">
      <c r="B11" s="4" t="inlineStr">
        <is>
          <t>Mining revenue, annualized ($000)</t>
        </is>
      </c>
      <c r="C11" s="9" t="n">
        <v>8676</v>
      </c>
    </row>
    <row r="12">
      <c r="B12" s="4" t="inlineStr">
        <is>
          <t>Mining power/direct cost, ann. ($000)</t>
        </is>
      </c>
      <c r="C12" s="9" t="n">
        <v>10676</v>
      </c>
    </row>
    <row r="13">
      <c r="B13" s="4" t="inlineStr">
        <is>
          <t>BTC held in treasury (#)</t>
        </is>
      </c>
      <c r="C13" s="9" t="n">
        <v>0</v>
      </c>
    </row>
    <row r="14">
      <c r="B14" s="4" t="inlineStr">
        <is>
          <t>Corporate SG&amp;A, annual ($000)</t>
        </is>
      </c>
      <c r="C14" s="9" t="n">
        <v>64560</v>
      </c>
      <c r="D14" s="6" t="inlineStr">
        <is>
          <t>FY25 10-K</t>
        </is>
      </c>
    </row>
    <row r="15">
      <c r="B15" s="4" t="inlineStr">
        <is>
          <t xml:space="preserve">  of which stock-based comp ($000)</t>
        </is>
      </c>
      <c r="C15" s="9" t="n">
        <v>40888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25951</v>
      </c>
    </row>
    <row r="17">
      <c r="B17" s="4" t="inlineStr">
        <is>
          <t>Cash ($000)</t>
        </is>
      </c>
      <c r="C17" s="9" t="n">
        <v>68572</v>
      </c>
    </row>
    <row r="18">
      <c r="B18" s="4" t="inlineStr">
        <is>
          <t>Noncontrolling interest ($000)</t>
        </is>
      </c>
      <c r="C18" s="9" t="n">
        <v>65797</v>
      </c>
    </row>
    <row r="19">
      <c r="B19" s="4" t="inlineStr">
        <is>
          <t>Diluted shares (M)</t>
        </is>
      </c>
      <c r="C19" s="42" t="n">
        <v>157.7</v>
      </c>
    </row>
    <row r="20">
      <c r="B20" s="4" t="inlineStr">
        <is>
          <t>Total secured power (MW)</t>
        </is>
      </c>
      <c r="C20" s="9" t="n">
        <v>123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282000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7" t="inlineStr">
        <is>
          <t>OTHER SEGMENTS — NOT VALUED HERE (flagged)</t>
        </is>
      </c>
    </row>
    <row r="53">
      <c r="B53" s="29" t="inlineStr">
        <is>
          <t>Economic ownership &lt;100%: Dorothy 1A/1B &amp; Kati held via JVs (Class A/B membership). NCI ($65.8M) deducted in bridge; the intrinsic equity here is SLNH's attributable share.</t>
        </is>
      </c>
    </row>
    <row r="54"/>
    <row r="55"/>
    <row r="56" ht="18" customHeight="1" s="31">
      <c r="B56" s="24" t="inlineStr">
        <is>
          <t>SOURCE</t>
        </is>
      </c>
    </row>
    <row r="57">
      <c r="B57" s="22" t="inlineStr">
        <is>
          <t>10-Q Q1'26: Hosting $6,688K/q×4; Mining $2,169K/q×4 (cost&gt;rev → floored); Demand-response $537K/q. Cash $68,572K; Total debt $25,951K; NCI $65,797K; 157.7M sh. SG&amp;A $16,140K/q×4; SBC $10,222K/q×4. Sophie 25 + Dorothy 50 + Dorothy2 48 MW.</t>
        </is>
      </c>
    </row>
    <row r="58"/>
    <row r="59"/>
    <row r="60"/>
    <row r="61"/>
  </sheetData>
  <mergeCells count="11">
    <mergeCell ref="B53:H55"/>
    <mergeCell ref="B56:H56"/>
    <mergeCell ref="B1:H1"/>
    <mergeCell ref="B52:H52"/>
    <mergeCell ref="B4:H4"/>
    <mergeCell ref="B39:H39"/>
    <mergeCell ref="B47:H47"/>
    <mergeCell ref="B2:H2"/>
    <mergeCell ref="B57:H61"/>
    <mergeCell ref="B31:H31"/>
    <mergeCell ref="B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H61"/>
  <sheetViews>
    <sheetView showGridLines="0" topLeftCell="A14" workbookViewId="0">
      <selection activeCell="C49" sqref="C49"/>
    </sheetView>
  </sheetViews>
  <sheetFormatPr baseColWidth="8" defaultColWidth="8.85546875" defaultRowHeight="15"/>
  <cols>
    <col width="3" customWidth="1" style="31" min="1" max="1"/>
    <col width="44" customWidth="1" style="31" min="2" max="2"/>
    <col width="15" customWidth="1" style="31" min="3" max="3"/>
    <col width="12" customWidth="1" style="31" min="4" max="8"/>
  </cols>
  <sheetData>
    <row r="1" ht="21.95" customHeight="1" s="31">
      <c r="B1" s="23" t="inlineStr">
        <is>
          <t>GLXY — Galaxy Digital   |   Financial-services firm — Helios HPC sliver only</t>
        </is>
      </c>
    </row>
    <row r="2">
      <c r="B2" s="33" t="inlineStr">
        <is>
          <t>Yellow = input. Everything else is a formula. $000 unless noted.</t>
        </is>
      </c>
    </row>
    <row r="4" ht="18" customHeight="1" s="31">
      <c r="B4" s="25" t="inlineStr">
        <is>
          <t>INPUTS  (from filings — Source at bottom)</t>
        </is>
      </c>
    </row>
    <row r="5">
      <c r="B5" s="4" t="inlineStr">
        <is>
          <t>Operating (billable) lease revenue, ann. ($000)</t>
        </is>
      </c>
      <c r="C5" s="9" t="n">
        <v>0</v>
      </c>
    </row>
    <row r="6">
      <c r="B6" s="4" t="inlineStr">
        <is>
          <t xml:space="preserve">  underlying billable MW (#)</t>
        </is>
      </c>
      <c r="C6" s="9" t="n">
        <v>0</v>
      </c>
      <c r="D6" s="6" t="inlineStr">
        <is>
          <t>→ disclosed $/MW</t>
        </is>
      </c>
    </row>
    <row r="7">
      <c r="B7" s="4" t="inlineStr">
        <is>
          <t>Signed-but-not-energized MW (#)</t>
        </is>
      </c>
      <c r="C7" s="9" t="n">
        <v>0</v>
      </c>
      <c r="D7" s="6" t="inlineStr">
        <is>
          <t>Signed leases, not yet built</t>
        </is>
      </c>
    </row>
    <row r="8">
      <c r="B8" s="4" t="inlineStr">
        <is>
          <t>Un-leased powered MW (#)</t>
        </is>
      </c>
      <c r="C8" s="9" t="n">
        <v>0</v>
      </c>
    </row>
    <row r="9">
      <c r="B9" s="4" t="inlineStr">
        <is>
          <t>Hosting revenue, ann. ($000)</t>
        </is>
      </c>
      <c r="C9" s="9" t="n">
        <v>0</v>
      </c>
      <c r="D9" s="6" t="inlineStr">
        <is>
          <t>3rd-party miner hosting</t>
        </is>
      </c>
    </row>
    <row r="10">
      <c r="B10" s="4" t="inlineStr">
        <is>
          <t>Pipeline MW in development (#)</t>
        </is>
      </c>
      <c r="C10" s="9" t="n">
        <v>400</v>
      </c>
    </row>
    <row r="11">
      <c r="B11" s="4" t="inlineStr">
        <is>
          <t>Mining revenue, annualized ($000)</t>
        </is>
      </c>
      <c r="C11" s="9" t="n">
        <v>2836</v>
      </c>
    </row>
    <row r="12">
      <c r="B12" s="4" t="inlineStr">
        <is>
          <t>Mining power/direct cost, ann. ($000)</t>
        </is>
      </c>
      <c r="C12" s="9" t="n">
        <v>2800</v>
      </c>
    </row>
    <row r="13">
      <c r="B13" s="4" t="inlineStr">
        <is>
          <t>BTC held in treasury (#)</t>
        </is>
      </c>
      <c r="C13" s="9" t="n">
        <v>0</v>
      </c>
    </row>
    <row r="14">
      <c r="B14" s="4" t="inlineStr">
        <is>
          <t>Corporate SG&amp;A, annual ($000)</t>
        </is>
      </c>
      <c r="C14" s="9" t="n">
        <v>81684</v>
      </c>
      <c r="D14" s="6" t="inlineStr">
        <is>
          <t>ESTIMATE — verify</t>
        </is>
      </c>
    </row>
    <row r="15">
      <c r="B15" s="4" t="inlineStr">
        <is>
          <t xml:space="preserve">  of which stock-based comp ($000)</t>
        </is>
      </c>
      <c r="C15" s="9" t="n">
        <v>20000</v>
      </c>
      <c r="D15" s="6" t="inlineStr">
        <is>
          <t>Netted out of overhead</t>
        </is>
      </c>
    </row>
    <row r="16">
      <c r="B16" s="4" t="inlineStr">
        <is>
          <t>Total debt ($000)</t>
        </is>
      </c>
      <c r="C16" s="9" t="n">
        <v>3058426</v>
      </c>
    </row>
    <row r="17">
      <c r="B17" s="4" t="inlineStr">
        <is>
          <t>Cash ($000)</t>
        </is>
      </c>
      <c r="C17" s="9" t="n">
        <v>910691</v>
      </c>
    </row>
    <row r="18">
      <c r="B18" s="4" t="inlineStr">
        <is>
          <t>Noncontrolling interest ($000)</t>
        </is>
      </c>
      <c r="C18" s="9" t="n">
        <v>1079042</v>
      </c>
    </row>
    <row r="19">
      <c r="B19" s="4" t="inlineStr">
        <is>
          <t>Diluted shares (M)</t>
        </is>
      </c>
      <c r="C19" s="42" t="n">
        <v>389.9</v>
      </c>
    </row>
    <row r="20">
      <c r="B20" s="4" t="inlineStr">
        <is>
          <t>Total secured power (MW)</t>
        </is>
      </c>
      <c r="C20" s="9" t="n">
        <v>400</v>
      </c>
    </row>
    <row r="21">
      <c r="B21" s="4" t="inlineStr">
        <is>
          <t>Disclosed $/MW (gross, computed)</t>
        </is>
      </c>
      <c r="C21" s="12">
        <f>IF(C6&gt;0,C5/C6,Assumptions!$C$25)</f>
        <v/>
      </c>
      <c r="D21" s="6" t="inlineStr">
        <is>
          <t>Used for operating &amp; signed MW</t>
        </is>
      </c>
    </row>
    <row r="23" ht="18" customHeight="1" s="31">
      <c r="B23" s="28" t="inlineStr">
        <is>
          <t>LANDLORD / REAL-ESTATE MODULE</t>
        </is>
      </c>
    </row>
    <row r="24">
      <c r="B24" s="4" t="inlineStr">
        <is>
          <t>Operating leases: NOI ÷ signed WACC</t>
        </is>
      </c>
      <c r="C24" s="12">
        <f>(C5*Assumptions!$C$19)/Assumptions!$C$16</f>
        <v/>
      </c>
    </row>
    <row r="25">
      <c r="B25" s="4" t="inlineStr">
        <is>
          <t>Signed-not-energized (×signing ×COD)</t>
        </is>
      </c>
      <c r="C25" s="12">
        <f>C7*C21*Assumptions!$C$19*Assumptions!$C$20*Assumptions!$C$21/Assumptions!$C$16</f>
        <v/>
      </c>
    </row>
    <row r="26">
      <c r="B26" s="4" t="inlineStr">
        <is>
          <t>Un-leased powered MW (generic $/MW ×lease-up)</t>
        </is>
      </c>
      <c r="C26" s="12">
        <f>C8*Assumptions!$C$25*Assumptions!$C$19*Assumptions!$C$23/Assumptions!$C$17</f>
        <v/>
      </c>
      <c r="D26" s="6" t="inlineStr">
        <is>
          <t>Generic rate — no signed lease</t>
        </is>
      </c>
    </row>
    <row r="27">
      <c r="B27" s="4" t="inlineStr">
        <is>
          <t>Hosting (NOI ÷ hosting WACC)</t>
        </is>
      </c>
      <c r="C27" s="12">
        <f>IF(C9&gt;0,C9*Assumptions!$C$19/Assumptions!$C$18,0)</f>
        <v/>
      </c>
    </row>
    <row r="28">
      <c r="B28" s="4" t="inlineStr">
        <is>
          <t>Pipeline (dev value net of capex, risk-wtd)</t>
        </is>
      </c>
      <c r="C28" s="12">
        <f>MAX(0,(Assumptions!$C$25*Assumptions!$C$19/Assumptions!$C$17)-Assumptions!$C$27)*C10*Assumptions!$C$22*Assumptions!$C$24</f>
        <v/>
      </c>
      <c r="D28" s="6" t="inlineStr">
        <is>
          <t>Generic rate</t>
        </is>
      </c>
    </row>
    <row r="29" ht="15.95" customHeight="1" s="31">
      <c r="B29" s="16" t="inlineStr">
        <is>
          <t>Landlord value (subtotal)</t>
        </is>
      </c>
      <c r="C29" s="17">
        <f>SUM(C24:C28)</f>
        <v/>
      </c>
    </row>
    <row r="31" ht="18" customHeight="1" s="31">
      <c r="B31" s="27" t="inlineStr">
        <is>
          <t>MINING MODULE  (finite life; scales with BTC scenario)</t>
        </is>
      </c>
    </row>
    <row r="32">
      <c r="B32" s="4" t="inlineStr">
        <is>
          <t>Year</t>
        </is>
      </c>
      <c r="C32" s="18" t="n">
        <v>1</v>
      </c>
      <c r="D32" s="18" t="n">
        <v>2</v>
      </c>
      <c r="E32" s="18" t="n">
        <v>3</v>
      </c>
      <c r="F32" s="18" t="n">
        <v>4</v>
      </c>
      <c r="G32" s="18" t="n">
        <v>5</v>
      </c>
    </row>
    <row r="33">
      <c r="B33" s="11" t="inlineStr">
        <is>
          <t>Mining revenue (scenario)</t>
        </is>
      </c>
      <c r="C33" s="12">
        <f>C11*(Assumptions!$C$9/Assumptions!$C$10)/((1+Assumptions!$C$11)^0)</f>
        <v/>
      </c>
      <c r="D33" s="12">
        <f>C11*(Assumptions!$C$9/Assumptions!$C$10)/((1+Assumptions!$C$11)^1)</f>
        <v/>
      </c>
      <c r="E33" s="12">
        <f>C11*(Assumptions!$C$9/Assumptions!$C$10)/((1+Assumptions!$C$11)^2)</f>
        <v/>
      </c>
      <c r="F33" s="12">
        <f>C11*(Assumptions!$C$9/Assumptions!$C$10)/((1+Assumptions!$C$11)^3)</f>
        <v/>
      </c>
      <c r="G33" s="12">
        <f>C11*(Assumptions!$C$9/Assumptions!$C$10)/((1+Assumptions!$C$11)^4)</f>
        <v/>
      </c>
    </row>
    <row r="34">
      <c r="B34" s="11" t="inlineStr">
        <is>
          <t>Less: power/direct cost</t>
        </is>
      </c>
      <c r="C34" s="12">
        <f>-C12</f>
        <v/>
      </c>
      <c r="D34" s="12">
        <f>-C12</f>
        <v/>
      </c>
      <c r="E34" s="12">
        <f>-C12</f>
        <v/>
      </c>
      <c r="F34" s="12">
        <f>-C12</f>
        <v/>
      </c>
      <c r="G34" s="12">
        <f>-C12</f>
        <v/>
      </c>
    </row>
    <row r="35">
      <c r="B35" s="11" t="inlineStr">
        <is>
          <t>FCF (after maint capex)</t>
        </is>
      </c>
      <c r="C35" s="12">
        <f>IF((C33+C34)&gt;0,(C33+C34)*(1-Assumptions!$C$14),(C33+C34))</f>
        <v/>
      </c>
      <c r="D35" s="12">
        <f>IF((D33+D34)&gt;0,(D33+D34)*(1-Assumptions!$C$14),(D33+D34))</f>
        <v/>
      </c>
      <c r="E35" s="12">
        <f>IF((E33+E34)&gt;0,(E33+E34)*(1-Assumptions!$C$14),(E33+E34))</f>
        <v/>
      </c>
      <c r="F35" s="12">
        <f>IF((F33+F34)&gt;0,(F33+F34)*(1-Assumptions!$C$14),(F33+F34))</f>
        <v/>
      </c>
      <c r="G35" s="12">
        <f>IF((G33+G34)&gt;0,(G33+G34)*(1-Assumptions!$C$14),(G33+G34))</f>
        <v/>
      </c>
    </row>
    <row r="36">
      <c r="B36" s="11" t="inlineStr">
        <is>
          <t>PV of FCF</t>
        </is>
      </c>
      <c r="C36" s="12">
        <f>C35/((1+Assumptions!$C$13)^1)</f>
        <v/>
      </c>
      <c r="D36" s="12">
        <f>D35/((1+Assumptions!$C$13)^2)</f>
        <v/>
      </c>
      <c r="E36" s="12">
        <f>E35/((1+Assumptions!$C$13)^3)</f>
        <v/>
      </c>
      <c r="F36" s="12">
        <f>F35/((1+Assumptions!$C$13)^4)</f>
        <v/>
      </c>
      <c r="G36" s="12">
        <f>G35/((1+Assumptions!$C$13)^5)</f>
        <v/>
      </c>
    </row>
    <row r="37" ht="15.95" customHeight="1" s="31">
      <c r="B37" s="16" t="inlineStr">
        <is>
          <t>Mining value (Σ PV, floored at 0)</t>
        </is>
      </c>
      <c r="C37" s="17">
        <f>MAX(0,SUM(C36:G36))</f>
        <v/>
      </c>
    </row>
    <row r="39" ht="18" customHeight="1" s="31">
      <c r="B39" s="25" t="inlineStr">
        <is>
          <t>BTC TREASURY  &amp;  BRIDGE</t>
        </is>
      </c>
    </row>
    <row r="40">
      <c r="B40" s="4" t="inlineStr">
        <is>
          <t>BTC treasury (×weighted price)</t>
        </is>
      </c>
      <c r="C40" s="12">
        <f>C13*Assumptions!$C$9/1000</f>
        <v/>
      </c>
    </row>
    <row r="41">
      <c r="B41" s="4" t="inlineStr">
        <is>
          <t>Less: overhead, cash SG&amp;A capitalized</t>
        </is>
      </c>
      <c r="C41" s="12">
        <f>-(C14-C15)/Assumptions!$C$29</f>
        <v/>
      </c>
      <c r="D41" s="6" t="inlineStr">
        <is>
          <t>SG&amp;A net of stock-comp</t>
        </is>
      </c>
    </row>
    <row r="42" ht="15.95" customHeight="1" s="31">
      <c r="B42" s="16" t="inlineStr">
        <is>
          <t>INTRINSIC ENTERPRISE VALUE (operating)</t>
        </is>
      </c>
      <c r="C42" s="19">
        <f>C29+C37+C41</f>
        <v/>
      </c>
    </row>
    <row r="43" ht="15.95" customHeight="1" s="31">
      <c r="B43" s="16" t="n"/>
      <c r="C43" s="19">
        <f>C42+C40+C17-C16-C18</f>
        <v/>
      </c>
    </row>
    <row r="44" ht="15.95" customHeight="1" s="31">
      <c r="B44" s="16" t="inlineStr">
        <is>
          <t>Intrinsic value / share ($)</t>
        </is>
      </c>
      <c r="C44" s="43">
        <f>C43*1000/(C19*1000000)</f>
        <v/>
      </c>
    </row>
    <row r="45">
      <c r="B45" s="4" t="inlineStr">
        <is>
          <t>Intrinsic EV per secured MW ($000/MW)</t>
        </is>
      </c>
      <c r="C45" s="12">
        <f>C42/C20</f>
        <v/>
      </c>
      <c r="D45" s="6" t="inlineStr">
        <is>
          <t>Peer sanity check</t>
        </is>
      </c>
    </row>
    <row r="47" ht="18" customHeight="1" s="31">
      <c r="B47" s="26" t="inlineStr">
        <is>
          <t>MARKET COMPARISON  (fill market cap)</t>
        </is>
      </c>
    </row>
    <row r="48">
      <c r="B48" s="4" t="inlineStr">
        <is>
          <t>Current market cap ($000)</t>
        </is>
      </c>
      <c r="C48" s="9" t="n">
        <v>11020000</v>
      </c>
      <c r="D48" s="6" t="inlineStr">
        <is>
          <t>INPUT — shares × price</t>
        </is>
      </c>
    </row>
    <row r="49">
      <c r="B49" s="4" t="inlineStr">
        <is>
          <t>Implied market EV (mktcap+debt−cash−BTC)</t>
        </is>
      </c>
      <c r="C49" s="12">
        <f>C48+C16-C17-(C13*Assumptions!$C$9/1000)</f>
        <v/>
      </c>
    </row>
    <row r="50" ht="15.95" customHeight="1" s="31">
      <c r="B50" s="16" t="inlineStr">
        <is>
          <t>Upside/(downside): intrinsic equity vs mkt cap</t>
        </is>
      </c>
      <c r="C50" s="21">
        <f>IF(C48=0,"set mkt cap",C43/C48-1)</f>
        <v/>
      </c>
    </row>
    <row r="52" ht="18" customHeight="1" s="31">
      <c r="B52" s="27" t="inlineStr">
        <is>
          <t>OTHER SEGMENTS — NOT VALUED HERE (flagged)</t>
        </is>
      </c>
    </row>
    <row r="53">
      <c r="B53" s="29" t="inlineStr">
        <is>
          <t>MOSTLY UNMODELED. Galaxy is a crypto financial-services firm (Digital Assets trading, Treasury, asset management). This tab captures only the Helios HPC pipeline (Dickens Co., TX, under construction, CoreWeave) + negligible mining ($0.7M). The intrinsic equity here is NOT a fair value for GLXY — its real value is the financial-services book, which needs a separate (financials/AUM-based) valuation. Debt $3.06B, cash $0.91B, NCI $1.08B are firm-level and not meaningful for this sliver.</t>
        </is>
      </c>
    </row>
    <row r="54"/>
    <row r="55"/>
    <row r="56" ht="18" customHeight="1" s="31">
      <c r="B56" s="24" t="inlineStr">
        <is>
          <t>SOURCE</t>
        </is>
      </c>
    </row>
    <row r="57">
      <c r="B57" s="22" t="inlineStr">
        <is>
          <t>10-Q Q1'26: Proprietary mining $709K/q×4 (winding down); Class A 191.5M + Class B 198.4M sh; cash $910,691K; notes payable $3,058,426K; NCI $1,079,042K. Helios construction commitment outstanding.</t>
        </is>
      </c>
    </row>
    <row r="58"/>
    <row r="59"/>
    <row r="60"/>
    <row r="61"/>
  </sheetData>
  <mergeCells count="11">
    <mergeCell ref="B53:H55"/>
    <mergeCell ref="B56:H56"/>
    <mergeCell ref="B1:H1"/>
    <mergeCell ref="B52:H52"/>
    <mergeCell ref="B4:H4"/>
    <mergeCell ref="B39:H39"/>
    <mergeCell ref="B47:H47"/>
    <mergeCell ref="B2:H2"/>
    <mergeCell ref="B57:H61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2026-06-26T14:57:30Z</dcterms:created>
  <dcterms:modified xsi:type="dcterms:W3CDTF">2026-06-27T09:40:56Z</dcterms:modified>
  <cp:lastModifiedBy>Pran Traisorat</cp:lastModifiedBy>
</cp:coreProperties>
</file>