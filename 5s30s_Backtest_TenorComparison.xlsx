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Yield Data" sheetId="2" state="visible" r:id="rId2"/>
    <sheet name="Cycle Backtest" sheetId="3" state="visible" r:id="rId3"/>
    <sheet name="Teno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+0;(0);&quot;-&quot;"/>
    <numFmt numFmtId="165" formatCode="0;(0);&quot;-&quot;"/>
    <numFmt numFmtId="166" formatCode="0.00&quot;x&quot;"/>
    <numFmt numFmtId="167" formatCode="$#,##0"/>
    <numFmt numFmtId="168" formatCode="0.0"/>
    <numFmt numFmtId="169" formatCode="+0.0;(0.0)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sz val="9"/>
    </font>
    <font>
      <name val="Arial"/>
      <b val="1"/>
      <sz val="15"/>
    </font>
  </fonts>
  <fills count="4">
    <fill>
      <patternFill/>
    </fill>
    <fill>
      <patternFill patternType="gray125"/>
    </fill>
    <fill>
      <patternFill patternType="solid">
        <fgColor rgb="001F3B3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C8C8C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1" fontId="6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2" fontId="5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4" fillId="0" borderId="1" pivotButton="0" quotePrefix="0" xfId="0"/>
    <xf numFmtId="2" fontId="5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6" fontId="4" fillId="0" borderId="0" pivotButton="0" quotePrefix="0" xfId="0"/>
    <xf numFmtId="2" fontId="5" fillId="3" borderId="0" pivotButton="0" quotePrefix="0" xfId="0"/>
    <xf numFmtId="167" fontId="5" fillId="3" borderId="0" pivotButton="0" quotePrefix="0" xfId="0"/>
    <xf numFmtId="2" fontId="4" fillId="0" borderId="0" pivotButton="0" quotePrefix="0" xfId="0"/>
    <xf numFmtId="168" fontId="4" fillId="0" borderId="0" pivotButton="0" quotePrefix="0" xfId="0"/>
    <xf numFmtId="3" fontId="4" fillId="0" borderId="0" pivotButton="0" quotePrefix="0" xfId="0"/>
    <xf numFmtId="169" fontId="4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165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4" customWidth="1" min="1" max="1"/>
    <col width="62" customWidth="1" min="2" max="2"/>
  </cols>
  <sheetData>
    <row r="1">
      <c r="A1" s="1" t="inlineStr">
        <is>
          <t>5s30s Steepener — Easing-Cycle Backtest &amp; Tenor Validation</t>
        </is>
      </c>
    </row>
    <row r="2">
      <c r="A2" s="2" t="inlineStr">
        <is>
          <t>Companion quant workbook to the Q4 trade memo (macro-trade-framework branch)</t>
        </is>
      </c>
    </row>
    <row r="3">
      <c r="A3" s="2" t="inlineStr">
        <is>
          <t>Last updated: 2026-08-29 (curve as of H.15 Aug-27/28-2026)</t>
        </is>
      </c>
    </row>
    <row r="5">
      <c r="A5" s="3" t="inlineStr">
        <is>
          <t>HEADLINE FINDINGS (live links to 'Cycle Backtest')</t>
        </is>
      </c>
    </row>
    <row r="6">
      <c r="A6" s="4" t="inlineStr">
        <is>
          <t>Cycles tested (1984-2025)</t>
        </is>
      </c>
      <c r="B6" s="5">
        <f>COUNTA('Cycle Backtest'!A5:A12)</f>
        <v/>
      </c>
    </row>
    <row r="7">
      <c r="A7" s="4" t="inlineStr">
        <is>
          <t>Hit rate, D+12m &gt; 0</t>
        </is>
      </c>
      <c r="B7" s="6">
        <f>'Cycle Backtest'!B16</f>
        <v/>
      </c>
    </row>
    <row r="8">
      <c r="A8" s="4" t="inlineStr">
        <is>
          <t>Median D+12m, all cycles (bp)</t>
        </is>
      </c>
      <c r="B8" s="30">
        <f>'Cycle Backtest'!B15</f>
        <v/>
      </c>
    </row>
    <row r="9">
      <c r="A9" s="4" t="inlineStr">
        <is>
          <t>Median peak D, deep cycles (bp)</t>
        </is>
      </c>
      <c r="B9" s="30">
        <f>'Cycle Backtest'!B19</f>
        <v/>
      </c>
    </row>
    <row r="10">
      <c r="A10" s="4" t="inlineStr">
        <is>
          <t>Median months to peak</t>
        </is>
      </c>
      <c r="B10" s="31">
        <f>'Cycle Backtest'!B20</f>
        <v/>
      </c>
    </row>
    <row r="11">
      <c r="A11" s="4" t="inlineStr">
        <is>
          <t>Worst 12m outcome (1998: cuts then re-hike)</t>
        </is>
      </c>
      <c r="B11" s="30">
        <f>'Cycle Backtest'!B18</f>
        <v/>
      </c>
    </row>
    <row r="12">
      <c r="A12" s="4" t="inlineStr">
        <is>
          <t>Median pre-positioning gain (T-6m to T0)</t>
        </is>
      </c>
      <c r="B12" s="30">
        <f>'Cycle Backtest'!B21</f>
        <v/>
      </c>
    </row>
    <row r="13">
      <c r="A13" s="4" t="inlineStr">
        <is>
          <t>2s30s / 10s30s peak beta vs 5s30s</t>
        </is>
      </c>
      <c r="B13" s="6">
        <f>TEXT('Cycle Backtest'!B22,"0.00")&amp;"x / "&amp;TEXT('Cycle Backtest'!B23,"0.00")&amp;"x"</f>
        <v/>
      </c>
    </row>
    <row r="15">
      <c r="A15" s="3" t="inlineStr">
        <is>
          <t>WHAT THE BACKTEST SAYS ABOUT THE TRADE</t>
        </is>
      </c>
    </row>
    <row r="16" ht="42" customHeight="1">
      <c r="A16" s="9" t="inlineStr">
        <is>
          <t>1. Steepeners are cycle trades: every deep easing cycle (1989-92, 2001-03, 2007-10, and the COVID extension) delivered +180 to +230bp peaks vs T0 — but the median peak arrives ~18 months after the first cut. Positive carry matters.</t>
        </is>
      </c>
    </row>
    <row r="17" ht="42" customHeight="1">
      <c r="A17" s="9" t="inlineStr">
        <is>
          <t>2. The failure mode is the shallow/insurance cycle: 1995 went nowhere; 1998 lost 50bp within 12m when the Fed re-hiked. That is exactly the scenario the memo's stop (+45-50bp level) and Board-vote falsifier are built around.</t>
        </is>
      </c>
    </row>
    <row r="18" ht="42" customHeight="1">
      <c r="A18" s="9" t="inlineStr">
        <is>
          <t>3. Pre-positioning before the first cut historically paid (median +33bp from T-6m into T0) — but today's entry is 23 months into a PAUSED cycle with hike pricing: the honest analogs split between 1990 (pause, then recession, then mega-steepening) and 1998-99 (re-hike, then flattening). The labor market is the differentiator — per the memo's Q1.</t>
        </is>
      </c>
    </row>
    <row r="19" ht="42" customHeight="1">
      <c r="A19" s="9" t="inlineStr">
        <is>
          <t>4. Target calibration: initial target +110-120 means regaining the 2025 steepness (peak ~+110) — requires only that cuts resume, not a recession. The +150 stretch sits BELOW every deep-cycle peak LEVEL (+170 to +295) — conservative if the cycle turns out deep.</t>
        </is>
      </c>
    </row>
    <row r="20" ht="42" customHeight="1">
      <c r="A20" s="9" t="inlineStr">
        <is>
          <t>5. Tenor choice: 2s30s captured ~1.6x of 5s30s's peak but needs ~2x the balance sheet and its carry IS the Fed bet; 10s30s kept only ~0.33x. 5s30s: ~62% of the payoff, ~half the gross, positive carry that isn't purely the hike premium.</t>
        </is>
      </c>
    </row>
    <row r="22">
      <c r="A22" s="3" t="inlineStr">
        <is>
          <t>REVISED TRADE PARAMETERS (post-validation)</t>
        </is>
      </c>
    </row>
    <row r="23">
      <c r="A23" s="4" t="inlineStr">
        <is>
          <t>Entry (5s30s)</t>
        </is>
      </c>
      <c r="B23" s="10" t="inlineStr">
        <is>
          <t>+75 to +80bp (H.15 Aug-27: +81; post-Warsh flattening)</t>
        </is>
      </c>
    </row>
    <row r="24">
      <c r="A24" s="4" t="inlineStr">
        <is>
          <t>Initial target</t>
        </is>
      </c>
      <c r="B24" s="10" t="inlineStr">
        <is>
          <t>+110 to +120bp</t>
        </is>
      </c>
    </row>
    <row r="25">
      <c r="A25" s="4" t="inlineStr">
        <is>
          <t>Stretch target</t>
        </is>
      </c>
      <c r="B25" s="10" t="inlineStr">
        <is>
          <t>+150bp (deep-cycle scenario only)</t>
        </is>
      </c>
    </row>
    <row r="26">
      <c r="A26" s="4" t="inlineStr">
        <is>
          <t>Stop</t>
        </is>
      </c>
      <c r="B26" s="10" t="inlineStr">
        <is>
          <t>+45 to +50bp</t>
        </is>
      </c>
    </row>
    <row r="27">
      <c r="A27" s="4" t="inlineStr">
        <is>
          <t>Sizing</t>
        </is>
      </c>
      <c r="B27" s="10" t="inlineStr">
        <is>
          <t>DV01-neutral, $20k/bp per leg; futures legs sized dynamically off current CTD DV01s</t>
        </is>
      </c>
    </row>
    <row r="28">
      <c r="A28" s="4" t="inlineStr">
        <is>
          <t>Carry + roll</t>
        </is>
      </c>
      <c r="B28" s="10" t="inlineStr">
        <is>
          <t>~ +10bp/yr (aged-bond repricing, curve unchanged; assumption-sensitive, sign robust)</t>
        </is>
      </c>
    </row>
    <row r="30">
      <c r="A30" s="11" t="inlineStr">
        <is>
          <t>Method &amp; caveats: quarterly checkpoints understate intra-month extremes; 1984-86 data +/-25-30bp; 30y after Feb-2002 is a long-bond proxy (issuance gap). Scenario probabilities in the memo are subjective priors, not outputs of this backtest. Re-run backtest_5s30s_easing_cycles.py against daily FRED DGS2/DGS5/DGS10/DGS30 CSVs for exact levels when network access allows.</t>
        </is>
      </c>
    </row>
    <row r="31"/>
    <row r="32"/>
  </sheetData>
  <mergeCells count="6">
    <mergeCell ref="A16:F16"/>
    <mergeCell ref="A19:F19"/>
    <mergeCell ref="A30:F32"/>
    <mergeCell ref="A17:F17"/>
    <mergeCell ref="A18:F18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2" t="inlineStr">
        <is>
          <t>Checkpoint yields around Fed easing cycles (CMT, %)</t>
        </is>
      </c>
    </row>
    <row r="2">
      <c r="A2" s="2" t="inlineStr">
        <is>
          <t>BLUE = input data. Quarterly month-end approximations reconstructed from the historical record (primary source is FRED H.15 daily CMTs; this sandbox had no network access to FRED, so values carry the per-cycle tolerance flagged on 'Cycle Backtest'). Peaks cross-checked against published anchors: post-GFC 5s30s peak ~+280-300bp; Jun-2025 +101bp 'steepest since 2021'. The +23m row of the 2024-25 cycle is official H.15 Aug-27-2026.</t>
        </is>
      </c>
    </row>
    <row r="3">
      <c r="A3" s="13" t="inlineStr">
        <is>
          <t>Cycle</t>
        </is>
      </c>
      <c r="B3" s="13" t="inlineStr">
        <is>
          <t>Offset (m)</t>
        </is>
      </c>
      <c r="C3" s="13" t="inlineStr">
        <is>
          <t>2y</t>
        </is>
      </c>
      <c r="D3" s="13" t="inlineStr">
        <is>
          <t>5y</t>
        </is>
      </c>
      <c r="E3" s="13" t="inlineStr">
        <is>
          <t>10y</t>
        </is>
      </c>
      <c r="F3" s="13" t="inlineStr">
        <is>
          <t>30y</t>
        </is>
      </c>
      <c r="G3" s="13" t="inlineStr">
        <is>
          <t>2s30s (bp)</t>
        </is>
      </c>
      <c r="H3" s="13" t="inlineStr">
        <is>
          <t>5s30s (bp)</t>
        </is>
      </c>
      <c r="I3" s="13" t="inlineStr">
        <is>
          <t>10s30s (bp)</t>
        </is>
      </c>
      <c r="J3" s="13" t="inlineStr">
        <is>
          <t>d2s30s vs T0</t>
        </is>
      </c>
      <c r="K3" s="13" t="inlineStr">
        <is>
          <t>d5s30s vs T0</t>
        </is>
      </c>
      <c r="L3" s="13" t="inlineStr">
        <is>
          <t>d10s30s vs T0</t>
        </is>
      </c>
    </row>
    <row r="4">
      <c r="A4" s="4" t="inlineStr">
        <is>
          <t>1984 disinflation</t>
        </is>
      </c>
      <c r="B4" s="4" t="n">
        <v>-6</v>
      </c>
      <c r="C4" s="14" t="n">
        <v>11.85</v>
      </c>
      <c r="D4" s="14" t="n">
        <v>12.25</v>
      </c>
      <c r="E4" s="14" t="n">
        <v>12.35</v>
      </c>
      <c r="F4" s="14" t="n">
        <v>12.4</v>
      </c>
      <c r="G4" s="32">
        <f>(F4-C4)*100</f>
        <v/>
      </c>
      <c r="H4" s="32">
        <f>(F4-D4)*100</f>
        <v/>
      </c>
      <c r="I4" s="32">
        <f>(F4-E4)*100</f>
        <v/>
      </c>
      <c r="J4" s="33">
        <f>G4-G$5</f>
        <v/>
      </c>
      <c r="K4" s="33">
        <f>H4-H$5</f>
        <v/>
      </c>
      <c r="L4" s="33">
        <f>I4-I$5</f>
        <v/>
      </c>
    </row>
    <row r="5">
      <c r="A5" s="4" t="inlineStr">
        <is>
          <t>1984 disinflation</t>
        </is>
      </c>
      <c r="B5" s="4" t="n">
        <v>0</v>
      </c>
      <c r="C5" s="14" t="n">
        <v>11.6</v>
      </c>
      <c r="D5" s="14" t="n">
        <v>12</v>
      </c>
      <c r="E5" s="14" t="n">
        <v>12.3</v>
      </c>
      <c r="F5" s="14" t="n">
        <v>12.3</v>
      </c>
      <c r="G5" s="32">
        <f>(F5-C5)*100</f>
        <v/>
      </c>
      <c r="H5" s="32">
        <f>(F5-D5)*100</f>
        <v/>
      </c>
      <c r="I5" s="32">
        <f>(F5-E5)*100</f>
        <v/>
      </c>
      <c r="J5" s="33">
        <f>G5-G$5</f>
        <v/>
      </c>
      <c r="K5" s="33">
        <f>H5-H$5</f>
        <v/>
      </c>
      <c r="L5" s="33">
        <f>I5-I$5</f>
        <v/>
      </c>
    </row>
    <row r="6">
      <c r="A6" s="4" t="inlineStr">
        <is>
          <t>1984 disinflation</t>
        </is>
      </c>
      <c r="B6" s="4" t="n">
        <v>3</v>
      </c>
      <c r="C6" s="14" t="n">
        <v>9.699999999999999</v>
      </c>
      <c r="D6" s="14" t="n">
        <v>10.8</v>
      </c>
      <c r="E6" s="14" t="n">
        <v>11.5</v>
      </c>
      <c r="F6" s="14" t="n">
        <v>11.6</v>
      </c>
      <c r="G6" s="32">
        <f>(F6-C6)*100</f>
        <v/>
      </c>
      <c r="H6" s="32">
        <f>(F6-D6)*100</f>
        <v/>
      </c>
      <c r="I6" s="32">
        <f>(F6-E6)*100</f>
        <v/>
      </c>
      <c r="J6" s="33">
        <f>G6-G$5</f>
        <v/>
      </c>
      <c r="K6" s="33">
        <f>H6-H$5</f>
        <v/>
      </c>
      <c r="L6" s="33">
        <f>I6-I$5</f>
        <v/>
      </c>
    </row>
    <row r="7">
      <c r="A7" s="4" t="inlineStr">
        <is>
          <t>1984 disinflation</t>
        </is>
      </c>
      <c r="B7" s="4" t="n">
        <v>6</v>
      </c>
      <c r="C7" s="14" t="n">
        <v>10.3</v>
      </c>
      <c r="D7" s="14" t="n">
        <v>11.1</v>
      </c>
      <c r="E7" s="14" t="n">
        <v>11.9</v>
      </c>
      <c r="F7" s="14" t="n">
        <v>11.9</v>
      </c>
      <c r="G7" s="32">
        <f>(F7-C7)*100</f>
        <v/>
      </c>
      <c r="H7" s="32">
        <f>(F7-D7)*100</f>
        <v/>
      </c>
      <c r="I7" s="32">
        <f>(F7-E7)*100</f>
        <v/>
      </c>
      <c r="J7" s="33">
        <f>G7-G$5</f>
        <v/>
      </c>
      <c r="K7" s="33">
        <f>H7-H$5</f>
        <v/>
      </c>
      <c r="L7" s="33">
        <f>I7-I$5</f>
        <v/>
      </c>
    </row>
    <row r="8">
      <c r="A8" s="4" t="inlineStr">
        <is>
          <t>1984 disinflation</t>
        </is>
      </c>
      <c r="B8" s="4" t="n">
        <v>9</v>
      </c>
      <c r="C8" s="14" t="n">
        <v>8.6</v>
      </c>
      <c r="D8" s="14" t="n">
        <v>9.4</v>
      </c>
      <c r="E8" s="14" t="n">
        <v>10.3</v>
      </c>
      <c r="F8" s="14" t="n">
        <v>10.5</v>
      </c>
      <c r="G8" s="32">
        <f>(F8-C8)*100</f>
        <v/>
      </c>
      <c r="H8" s="32">
        <f>(F8-D8)*100</f>
        <v/>
      </c>
      <c r="I8" s="32">
        <f>(F8-E8)*100</f>
        <v/>
      </c>
      <c r="J8" s="33">
        <f>G8-G$5</f>
        <v/>
      </c>
      <c r="K8" s="33">
        <f>H8-H$5</f>
        <v/>
      </c>
      <c r="L8" s="33">
        <f>I8-I$5</f>
        <v/>
      </c>
    </row>
    <row r="9">
      <c r="A9" s="4" t="inlineStr">
        <is>
          <t>1984 disinflation</t>
        </is>
      </c>
      <c r="B9" s="4" t="n">
        <v>12</v>
      </c>
      <c r="C9" s="14" t="n">
        <v>8.800000000000001</v>
      </c>
      <c r="D9" s="14" t="n">
        <v>9.5</v>
      </c>
      <c r="E9" s="14" t="n">
        <v>10.4</v>
      </c>
      <c r="F9" s="14" t="n">
        <v>10.7</v>
      </c>
      <c r="G9" s="32">
        <f>(F9-C9)*100</f>
        <v/>
      </c>
      <c r="H9" s="32">
        <f>(F9-D9)*100</f>
        <v/>
      </c>
      <c r="I9" s="32">
        <f>(F9-E9)*100</f>
        <v/>
      </c>
      <c r="J9" s="33">
        <f>G9-G$5</f>
        <v/>
      </c>
      <c r="K9" s="33">
        <f>H9-H$5</f>
        <v/>
      </c>
      <c r="L9" s="33">
        <f>I9-I$5</f>
        <v/>
      </c>
    </row>
    <row r="10">
      <c r="A10" s="4" t="inlineStr">
        <is>
          <t>1984 disinflation</t>
        </is>
      </c>
      <c r="B10" s="4" t="n">
        <v>18</v>
      </c>
      <c r="C10" s="14" t="n">
        <v>7.1</v>
      </c>
      <c r="D10" s="14" t="n">
        <v>7.45</v>
      </c>
      <c r="E10" s="14" t="n">
        <v>7.8</v>
      </c>
      <c r="F10" s="14" t="n">
        <v>7.95</v>
      </c>
      <c r="G10" s="32">
        <f>(F10-C10)*100</f>
        <v/>
      </c>
      <c r="H10" s="32">
        <f>(F10-D10)*100</f>
        <v/>
      </c>
      <c r="I10" s="32">
        <f>(F10-E10)*100</f>
        <v/>
      </c>
      <c r="J10" s="33">
        <f>G10-G$5</f>
        <v/>
      </c>
      <c r="K10" s="33">
        <f>H10-H$5</f>
        <v/>
      </c>
      <c r="L10" s="33">
        <f>I10-I$5</f>
        <v/>
      </c>
    </row>
    <row r="11">
      <c r="A11" s="4" t="inlineStr">
        <is>
          <t>1984 disinflation</t>
        </is>
      </c>
      <c r="B11" s="4" t="n">
        <v>24</v>
      </c>
      <c r="C11" s="14" t="n">
        <v>6.3</v>
      </c>
      <c r="D11" s="14" t="n">
        <v>6.9</v>
      </c>
      <c r="E11" s="14" t="n">
        <v>7.45</v>
      </c>
      <c r="F11" s="14" t="n">
        <v>7.6</v>
      </c>
      <c r="G11" s="32">
        <f>(F11-C11)*100</f>
        <v/>
      </c>
      <c r="H11" s="32">
        <f>(F11-D11)*100</f>
        <v/>
      </c>
      <c r="I11" s="32">
        <f>(F11-E11)*100</f>
        <v/>
      </c>
      <c r="J11" s="33">
        <f>G11-G$5</f>
        <v/>
      </c>
      <c r="K11" s="33">
        <f>H11-H$5</f>
        <v/>
      </c>
      <c r="L11" s="33">
        <f>I11-I$5</f>
        <v/>
      </c>
    </row>
    <row r="12">
      <c r="A12" s="17" t="inlineStr">
        <is>
          <t>1984 disinflation</t>
        </is>
      </c>
      <c r="B12" s="17" t="n">
        <v>30</v>
      </c>
      <c r="C12" s="18" t="n">
        <v>6.5</v>
      </c>
      <c r="D12" s="18" t="n">
        <v>7</v>
      </c>
      <c r="E12" s="18" t="n">
        <v>7.25</v>
      </c>
      <c r="F12" s="18" t="n">
        <v>7.55</v>
      </c>
      <c r="G12" s="34">
        <f>(F12-C12)*100</f>
        <v/>
      </c>
      <c r="H12" s="34">
        <f>(F12-D12)*100</f>
        <v/>
      </c>
      <c r="I12" s="34">
        <f>(F12-E12)*100</f>
        <v/>
      </c>
      <c r="J12" s="35">
        <f>G12-G$5</f>
        <v/>
      </c>
      <c r="K12" s="35">
        <f>H12-H$5</f>
        <v/>
      </c>
      <c r="L12" s="35">
        <f>I12-I$5</f>
        <v/>
      </c>
    </row>
    <row r="13">
      <c r="A13" s="4" t="inlineStr">
        <is>
          <t>1989-92 S&amp;L / recession</t>
        </is>
      </c>
      <c r="B13" s="4" t="n">
        <v>-6</v>
      </c>
      <c r="C13" s="14" t="n">
        <v>9.25</v>
      </c>
      <c r="D13" s="14" t="n">
        <v>9.199999999999999</v>
      </c>
      <c r="E13" s="14" t="n">
        <v>9.15</v>
      </c>
      <c r="F13" s="14" t="n">
        <v>9</v>
      </c>
      <c r="G13" s="32">
        <f>(F13-C13)*100</f>
        <v/>
      </c>
      <c r="H13" s="32">
        <f>(F13-D13)*100</f>
        <v/>
      </c>
      <c r="I13" s="32">
        <f>(F13-E13)*100</f>
        <v/>
      </c>
      <c r="J13" s="33">
        <f>G13-G$14</f>
        <v/>
      </c>
      <c r="K13" s="33">
        <f>H13-H$14</f>
        <v/>
      </c>
      <c r="L13" s="33">
        <f>I13-I$14</f>
        <v/>
      </c>
    </row>
    <row r="14">
      <c r="A14" s="4" t="inlineStr">
        <is>
          <t>1989-92 S&amp;L / recession</t>
        </is>
      </c>
      <c r="B14" s="4" t="n">
        <v>0</v>
      </c>
      <c r="C14" s="14" t="n">
        <v>8.449999999999999</v>
      </c>
      <c r="D14" s="14" t="n">
        <v>8.300000000000001</v>
      </c>
      <c r="E14" s="14" t="n">
        <v>8.300000000000001</v>
      </c>
      <c r="F14" s="14" t="n">
        <v>8.199999999999999</v>
      </c>
      <c r="G14" s="32">
        <f>(F14-C14)*100</f>
        <v/>
      </c>
      <c r="H14" s="32">
        <f>(F14-D14)*100</f>
        <v/>
      </c>
      <c r="I14" s="32">
        <f>(F14-E14)*100</f>
        <v/>
      </c>
      <c r="J14" s="33">
        <f>G14-G$14</f>
        <v/>
      </c>
      <c r="K14" s="33">
        <f>H14-H$14</f>
        <v/>
      </c>
      <c r="L14" s="33">
        <f>I14-I$14</f>
        <v/>
      </c>
    </row>
    <row r="15">
      <c r="A15" s="4" t="inlineStr">
        <is>
          <t>1989-92 S&amp;L / recession</t>
        </is>
      </c>
      <c r="B15" s="4" t="n">
        <v>3</v>
      </c>
      <c r="C15" s="14" t="n">
        <v>8.6</v>
      </c>
      <c r="D15" s="14" t="n">
        <v>8.5</v>
      </c>
      <c r="E15" s="14" t="n">
        <v>8.35</v>
      </c>
      <c r="F15" s="14" t="n">
        <v>8.25</v>
      </c>
      <c r="G15" s="32">
        <f>(F15-C15)*100</f>
        <v/>
      </c>
      <c r="H15" s="32">
        <f>(F15-D15)*100</f>
        <v/>
      </c>
      <c r="I15" s="32">
        <f>(F15-E15)*100</f>
        <v/>
      </c>
      <c r="J15" s="33">
        <f>G15-G$14</f>
        <v/>
      </c>
      <c r="K15" s="33">
        <f>H15-H$14</f>
        <v/>
      </c>
      <c r="L15" s="33">
        <f>I15-I$14</f>
        <v/>
      </c>
    </row>
    <row r="16">
      <c r="A16" s="4" t="inlineStr">
        <is>
          <t>1989-92 S&amp;L / recession</t>
        </is>
      </c>
      <c r="B16" s="4" t="n">
        <v>6</v>
      </c>
      <c r="C16" s="14" t="n">
        <v>7.8</v>
      </c>
      <c r="D16" s="14" t="n">
        <v>7.75</v>
      </c>
      <c r="E16" s="14" t="n">
        <v>7.9</v>
      </c>
      <c r="F16" s="14" t="n">
        <v>7.95</v>
      </c>
      <c r="G16" s="32">
        <f>(F16-C16)*100</f>
        <v/>
      </c>
      <c r="H16" s="32">
        <f>(F16-D16)*100</f>
        <v/>
      </c>
      <c r="I16" s="32">
        <f>(F16-E16)*100</f>
        <v/>
      </c>
      <c r="J16" s="33">
        <f>G16-G$14</f>
        <v/>
      </c>
      <c r="K16" s="33">
        <f>H16-H$14</f>
        <v/>
      </c>
      <c r="L16" s="33">
        <f>I16-I$14</f>
        <v/>
      </c>
    </row>
    <row r="17">
      <c r="A17" s="4" t="inlineStr">
        <is>
          <t>1989-92 S&amp;L / recession</t>
        </is>
      </c>
      <c r="B17" s="4" t="n">
        <v>9</v>
      </c>
      <c r="C17" s="14" t="n">
        <v>8.6</v>
      </c>
      <c r="D17" s="14" t="n">
        <v>8.6</v>
      </c>
      <c r="E17" s="14" t="n">
        <v>8.6</v>
      </c>
      <c r="F17" s="14" t="n">
        <v>8.6</v>
      </c>
      <c r="G17" s="32">
        <f>(F17-C17)*100</f>
        <v/>
      </c>
      <c r="H17" s="32">
        <f>(F17-D17)*100</f>
        <v/>
      </c>
      <c r="I17" s="32">
        <f>(F17-E17)*100</f>
        <v/>
      </c>
      <c r="J17" s="33">
        <f>G17-G$14</f>
        <v/>
      </c>
      <c r="K17" s="33">
        <f>H17-H$14</f>
        <v/>
      </c>
      <c r="L17" s="33">
        <f>I17-I$14</f>
        <v/>
      </c>
    </row>
    <row r="18">
      <c r="A18" s="4" t="inlineStr">
        <is>
          <t>1989-92 S&amp;L / recession</t>
        </is>
      </c>
      <c r="B18" s="4" t="n">
        <v>12</v>
      </c>
      <c r="C18" s="14" t="n">
        <v>8.199999999999999</v>
      </c>
      <c r="D18" s="14" t="n">
        <v>8.4</v>
      </c>
      <c r="E18" s="14" t="n">
        <v>8.4</v>
      </c>
      <c r="F18" s="14" t="n">
        <v>8.4</v>
      </c>
      <c r="G18" s="32">
        <f>(F18-C18)*100</f>
        <v/>
      </c>
      <c r="H18" s="32">
        <f>(F18-D18)*100</f>
        <v/>
      </c>
      <c r="I18" s="32">
        <f>(F18-E18)*100</f>
        <v/>
      </c>
      <c r="J18" s="33">
        <f>G18-G$14</f>
        <v/>
      </c>
      <c r="K18" s="33">
        <f>H18-H$14</f>
        <v/>
      </c>
      <c r="L18" s="33">
        <f>I18-I$14</f>
        <v/>
      </c>
    </row>
    <row r="19">
      <c r="A19" s="4" t="inlineStr">
        <is>
          <t>1989-92 S&amp;L / recession</t>
        </is>
      </c>
      <c r="B19" s="4" t="n">
        <v>18</v>
      </c>
      <c r="C19" s="14" t="n">
        <v>7.2</v>
      </c>
      <c r="D19" s="14" t="n">
        <v>7.7</v>
      </c>
      <c r="E19" s="14" t="n">
        <v>8.1</v>
      </c>
      <c r="F19" s="14" t="n">
        <v>8.25</v>
      </c>
      <c r="G19" s="32">
        <f>(F19-C19)*100</f>
        <v/>
      </c>
      <c r="H19" s="32">
        <f>(F19-D19)*100</f>
        <v/>
      </c>
      <c r="I19" s="32">
        <f>(F19-E19)*100</f>
        <v/>
      </c>
      <c r="J19" s="33">
        <f>G19-G$14</f>
        <v/>
      </c>
      <c r="K19" s="33">
        <f>H19-H$14</f>
        <v/>
      </c>
      <c r="L19" s="33">
        <f>I19-I$14</f>
        <v/>
      </c>
    </row>
    <row r="20">
      <c r="A20" s="4" t="inlineStr">
        <is>
          <t>1989-92 S&amp;L / recession</t>
        </is>
      </c>
      <c r="B20" s="4" t="n">
        <v>24</v>
      </c>
      <c r="C20" s="14" t="n">
        <v>6.8</v>
      </c>
      <c r="D20" s="14" t="n">
        <v>7.85</v>
      </c>
      <c r="E20" s="14" t="n">
        <v>8.199999999999999</v>
      </c>
      <c r="F20" s="14" t="n">
        <v>8.449999999999999</v>
      </c>
      <c r="G20" s="32">
        <f>(F20-C20)*100</f>
        <v/>
      </c>
      <c r="H20" s="32">
        <f>(F20-D20)*100</f>
        <v/>
      </c>
      <c r="I20" s="32">
        <f>(F20-E20)*100</f>
        <v/>
      </c>
      <c r="J20" s="33">
        <f>G20-G$14</f>
        <v/>
      </c>
      <c r="K20" s="33">
        <f>H20-H$14</f>
        <v/>
      </c>
      <c r="L20" s="33">
        <f>I20-I$14</f>
        <v/>
      </c>
    </row>
    <row r="21">
      <c r="A21" s="4" t="inlineStr">
        <is>
          <t>1989-92 S&amp;L / recession</t>
        </is>
      </c>
      <c r="B21" s="4" t="n">
        <v>30</v>
      </c>
      <c r="C21" s="14" t="n">
        <v>4.9</v>
      </c>
      <c r="D21" s="14" t="n">
        <v>6</v>
      </c>
      <c r="E21" s="14" t="n">
        <v>6.7</v>
      </c>
      <c r="F21" s="14" t="n">
        <v>7.4</v>
      </c>
      <c r="G21" s="32">
        <f>(F21-C21)*100</f>
        <v/>
      </c>
      <c r="H21" s="32">
        <f>(F21-D21)*100</f>
        <v/>
      </c>
      <c r="I21" s="32">
        <f>(F21-E21)*100</f>
        <v/>
      </c>
      <c r="J21" s="33">
        <f>G21-G$14</f>
        <v/>
      </c>
      <c r="K21" s="33">
        <f>H21-H$14</f>
        <v/>
      </c>
      <c r="L21" s="33">
        <f>I21-I$14</f>
        <v/>
      </c>
    </row>
    <row r="22">
      <c r="A22" s="4" t="inlineStr">
        <is>
          <t>1989-92 S&amp;L / recession</t>
        </is>
      </c>
      <c r="B22" s="4" t="n">
        <v>36</v>
      </c>
      <c r="C22" s="14" t="n">
        <v>4.7</v>
      </c>
      <c r="D22" s="14" t="n">
        <v>5.85</v>
      </c>
      <c r="E22" s="14" t="n">
        <v>6.9</v>
      </c>
      <c r="F22" s="14" t="n">
        <v>7.55</v>
      </c>
      <c r="G22" s="32">
        <f>(F22-C22)*100</f>
        <v/>
      </c>
      <c r="H22" s="32">
        <f>(F22-D22)*100</f>
        <v/>
      </c>
      <c r="I22" s="32">
        <f>(F22-E22)*100</f>
        <v/>
      </c>
      <c r="J22" s="33">
        <f>G22-G$14</f>
        <v/>
      </c>
      <c r="K22" s="33">
        <f>H22-H$14</f>
        <v/>
      </c>
      <c r="L22" s="33">
        <f>I22-I$14</f>
        <v/>
      </c>
    </row>
    <row r="23">
      <c r="A23" s="17" t="inlineStr">
        <is>
          <t>1989-92 S&amp;L / recession</t>
        </is>
      </c>
      <c r="B23" s="17" t="n">
        <v>42</v>
      </c>
      <c r="C23" s="18" t="n">
        <v>4.55</v>
      </c>
      <c r="D23" s="18" t="n">
        <v>6.05</v>
      </c>
      <c r="E23" s="18" t="n">
        <v>6.75</v>
      </c>
      <c r="F23" s="18" t="n">
        <v>7.4</v>
      </c>
      <c r="G23" s="34">
        <f>(F23-C23)*100</f>
        <v/>
      </c>
      <c r="H23" s="34">
        <f>(F23-D23)*100</f>
        <v/>
      </c>
      <c r="I23" s="34">
        <f>(F23-E23)*100</f>
        <v/>
      </c>
      <c r="J23" s="35">
        <f>G23-G$14</f>
        <v/>
      </c>
      <c r="K23" s="35">
        <f>H23-H$14</f>
        <v/>
      </c>
      <c r="L23" s="35">
        <f>I23-I$14</f>
        <v/>
      </c>
    </row>
    <row r="24">
      <c r="A24" s="4" t="inlineStr">
        <is>
          <t>1995 mid-cycle</t>
        </is>
      </c>
      <c r="B24" s="4" t="n">
        <v>-6</v>
      </c>
      <c r="C24" s="14" t="n">
        <v>7.4</v>
      </c>
      <c r="D24" s="14" t="n">
        <v>7.7</v>
      </c>
      <c r="E24" s="14" t="n">
        <v>7.75</v>
      </c>
      <c r="F24" s="14" t="n">
        <v>7.9</v>
      </c>
      <c r="G24" s="32">
        <f>(F24-C24)*100</f>
        <v/>
      </c>
      <c r="H24" s="32">
        <f>(F24-D24)*100</f>
        <v/>
      </c>
      <c r="I24" s="32">
        <f>(F24-E24)*100</f>
        <v/>
      </c>
      <c r="J24" s="33">
        <f>G24-G$25</f>
        <v/>
      </c>
      <c r="K24" s="33">
        <f>H24-H$25</f>
        <v/>
      </c>
      <c r="L24" s="33">
        <f>I24-I$25</f>
        <v/>
      </c>
    </row>
    <row r="25">
      <c r="A25" s="4" t="inlineStr">
        <is>
          <t>1995 mid-cycle</t>
        </is>
      </c>
      <c r="B25" s="4" t="n">
        <v>0</v>
      </c>
      <c r="C25" s="14" t="n">
        <v>5.85</v>
      </c>
      <c r="D25" s="14" t="n">
        <v>6</v>
      </c>
      <c r="E25" s="14" t="n">
        <v>6.3</v>
      </c>
      <c r="F25" s="14" t="n">
        <v>6.6</v>
      </c>
      <c r="G25" s="32">
        <f>(F25-C25)*100</f>
        <v/>
      </c>
      <c r="H25" s="32">
        <f>(F25-D25)*100</f>
        <v/>
      </c>
      <c r="I25" s="32">
        <f>(F25-E25)*100</f>
        <v/>
      </c>
      <c r="J25" s="33">
        <f>G25-G$25</f>
        <v/>
      </c>
      <c r="K25" s="33">
        <f>H25-H$25</f>
        <v/>
      </c>
      <c r="L25" s="33">
        <f>I25-I$25</f>
        <v/>
      </c>
    </row>
    <row r="26">
      <c r="A26" s="4" t="inlineStr">
        <is>
          <t>1995 mid-cycle</t>
        </is>
      </c>
      <c r="B26" s="4" t="n">
        <v>3</v>
      </c>
      <c r="C26" s="14" t="n">
        <v>5.6</v>
      </c>
      <c r="D26" s="14" t="n">
        <v>5.8</v>
      </c>
      <c r="E26" s="14" t="n">
        <v>6</v>
      </c>
      <c r="F26" s="14" t="n">
        <v>6.3</v>
      </c>
      <c r="G26" s="32">
        <f>(F26-C26)*100</f>
        <v/>
      </c>
      <c r="H26" s="32">
        <f>(F26-D26)*100</f>
        <v/>
      </c>
      <c r="I26" s="32">
        <f>(F26-E26)*100</f>
        <v/>
      </c>
      <c r="J26" s="33">
        <f>G26-G$25</f>
        <v/>
      </c>
      <c r="K26" s="33">
        <f>H26-H$25</f>
        <v/>
      </c>
      <c r="L26" s="33">
        <f>I26-I$25</f>
        <v/>
      </c>
    </row>
    <row r="27">
      <c r="A27" s="4" t="inlineStr">
        <is>
          <t>1995 mid-cycle</t>
        </is>
      </c>
      <c r="B27" s="4" t="n">
        <v>6</v>
      </c>
      <c r="C27" s="14" t="n">
        <v>5.15</v>
      </c>
      <c r="D27" s="14" t="n">
        <v>5.35</v>
      </c>
      <c r="E27" s="14" t="n">
        <v>5.6</v>
      </c>
      <c r="F27" s="14" t="n">
        <v>6</v>
      </c>
      <c r="G27" s="32">
        <f>(F27-C27)*100</f>
        <v/>
      </c>
      <c r="H27" s="32">
        <f>(F27-D27)*100</f>
        <v/>
      </c>
      <c r="I27" s="32">
        <f>(F27-E27)*100</f>
        <v/>
      </c>
      <c r="J27" s="33">
        <f>G27-G$25</f>
        <v/>
      </c>
      <c r="K27" s="33">
        <f>H27-H$25</f>
        <v/>
      </c>
      <c r="L27" s="33">
        <f>I27-I$25</f>
        <v/>
      </c>
    </row>
    <row r="28">
      <c r="A28" s="4" t="inlineStr">
        <is>
          <t>1995 mid-cycle</t>
        </is>
      </c>
      <c r="B28" s="4" t="n">
        <v>9</v>
      </c>
      <c r="C28" s="14" t="n">
        <v>5.95</v>
      </c>
      <c r="D28" s="14" t="n">
        <v>6.3</v>
      </c>
      <c r="E28" s="14" t="n">
        <v>6.5</v>
      </c>
      <c r="F28" s="14" t="n">
        <v>6.8</v>
      </c>
      <c r="G28" s="32">
        <f>(F28-C28)*100</f>
        <v/>
      </c>
      <c r="H28" s="32">
        <f>(F28-D28)*100</f>
        <v/>
      </c>
      <c r="I28" s="32">
        <f>(F28-E28)*100</f>
        <v/>
      </c>
      <c r="J28" s="33">
        <f>G28-G$25</f>
        <v/>
      </c>
      <c r="K28" s="33">
        <f>H28-H$25</f>
        <v/>
      </c>
      <c r="L28" s="33">
        <f>I28-I$25</f>
        <v/>
      </c>
    </row>
    <row r="29">
      <c r="A29" s="4" t="inlineStr">
        <is>
          <t>1995 mid-cycle</t>
        </is>
      </c>
      <c r="B29" s="4" t="n">
        <v>12</v>
      </c>
      <c r="C29" s="14" t="n">
        <v>6.1</v>
      </c>
      <c r="D29" s="14" t="n">
        <v>6.45</v>
      </c>
      <c r="E29" s="14" t="n">
        <v>6.75</v>
      </c>
      <c r="F29" s="14" t="n">
        <v>7</v>
      </c>
      <c r="G29" s="32">
        <f>(F29-C29)*100</f>
        <v/>
      </c>
      <c r="H29" s="32">
        <f>(F29-D29)*100</f>
        <v/>
      </c>
      <c r="I29" s="32">
        <f>(F29-E29)*100</f>
        <v/>
      </c>
      <c r="J29" s="33">
        <f>G29-G$25</f>
        <v/>
      </c>
      <c r="K29" s="33">
        <f>H29-H$25</f>
        <v/>
      </c>
      <c r="L29" s="33">
        <f>I29-I$25</f>
        <v/>
      </c>
    </row>
    <row r="30">
      <c r="A30" s="4" t="inlineStr">
        <is>
          <t>1995 mid-cycle</t>
        </is>
      </c>
      <c r="B30" s="4" t="n">
        <v>18</v>
      </c>
      <c r="C30" s="14" t="n">
        <v>5.9</v>
      </c>
      <c r="D30" s="14" t="n">
        <v>6.25</v>
      </c>
      <c r="E30" s="14" t="n">
        <v>6.5</v>
      </c>
      <c r="F30" s="14" t="n">
        <v>6.8</v>
      </c>
      <c r="G30" s="32">
        <f>(F30-C30)*100</f>
        <v/>
      </c>
      <c r="H30" s="32">
        <f>(F30-D30)*100</f>
        <v/>
      </c>
      <c r="I30" s="32">
        <f>(F30-E30)*100</f>
        <v/>
      </c>
      <c r="J30" s="33">
        <f>G30-G$25</f>
        <v/>
      </c>
      <c r="K30" s="33">
        <f>H30-H$25</f>
        <v/>
      </c>
      <c r="L30" s="33">
        <f>I30-I$25</f>
        <v/>
      </c>
    </row>
    <row r="31">
      <c r="A31" s="17" t="inlineStr">
        <is>
          <t>1995 mid-cycle</t>
        </is>
      </c>
      <c r="B31" s="17" t="n">
        <v>24</v>
      </c>
      <c r="C31" s="18" t="n">
        <v>5.9</v>
      </c>
      <c r="D31" s="18" t="n">
        <v>6</v>
      </c>
      <c r="E31" s="18" t="n">
        <v>6.2</v>
      </c>
      <c r="F31" s="18" t="n">
        <v>6.5</v>
      </c>
      <c r="G31" s="34">
        <f>(F31-C31)*100</f>
        <v/>
      </c>
      <c r="H31" s="34">
        <f>(F31-D31)*100</f>
        <v/>
      </c>
      <c r="I31" s="34">
        <f>(F31-E31)*100</f>
        <v/>
      </c>
      <c r="J31" s="35">
        <f>G31-G$25</f>
        <v/>
      </c>
      <c r="K31" s="35">
        <f>H31-H$25</f>
        <v/>
      </c>
      <c r="L31" s="35">
        <f>I31-I$25</f>
        <v/>
      </c>
    </row>
    <row r="32">
      <c r="A32" s="4" t="inlineStr">
        <is>
          <t>1998 LTCM insurance</t>
        </is>
      </c>
      <c r="B32" s="4" t="n">
        <v>-6</v>
      </c>
      <c r="C32" s="14" t="n">
        <v>5.55</v>
      </c>
      <c r="D32" s="14" t="n">
        <v>5.6</v>
      </c>
      <c r="E32" s="14" t="n">
        <v>5.65</v>
      </c>
      <c r="F32" s="14" t="n">
        <v>5.95</v>
      </c>
      <c r="G32" s="32">
        <f>(F32-C32)*100</f>
        <v/>
      </c>
      <c r="H32" s="32">
        <f>(F32-D32)*100</f>
        <v/>
      </c>
      <c r="I32" s="32">
        <f>(F32-E32)*100</f>
        <v/>
      </c>
      <c r="J32" s="33">
        <f>G32-G$33</f>
        <v/>
      </c>
      <c r="K32" s="33">
        <f>H32-H$33</f>
        <v/>
      </c>
      <c r="L32" s="33">
        <f>I32-I$33</f>
        <v/>
      </c>
    </row>
    <row r="33">
      <c r="A33" s="4" t="inlineStr">
        <is>
          <t>1998 LTCM insurance</t>
        </is>
      </c>
      <c r="B33" s="4" t="n">
        <v>0</v>
      </c>
      <c r="C33" s="14" t="n">
        <v>4.3</v>
      </c>
      <c r="D33" s="14" t="n">
        <v>4.2</v>
      </c>
      <c r="E33" s="14" t="n">
        <v>4.4</v>
      </c>
      <c r="F33" s="14" t="n">
        <v>5</v>
      </c>
      <c r="G33" s="32">
        <f>(F33-C33)*100</f>
        <v/>
      </c>
      <c r="H33" s="32">
        <f>(F33-D33)*100</f>
        <v/>
      </c>
      <c r="I33" s="32">
        <f>(F33-E33)*100</f>
        <v/>
      </c>
      <c r="J33" s="33">
        <f>G33-G$33</f>
        <v/>
      </c>
      <c r="K33" s="33">
        <f>H33-H$33</f>
        <v/>
      </c>
      <c r="L33" s="33">
        <f>I33-I$33</f>
        <v/>
      </c>
    </row>
    <row r="34">
      <c r="A34" s="4" t="inlineStr">
        <is>
          <t>1998 LTCM insurance</t>
        </is>
      </c>
      <c r="B34" s="4" t="n">
        <v>3</v>
      </c>
      <c r="C34" s="14" t="n">
        <v>4.55</v>
      </c>
      <c r="D34" s="14" t="n">
        <v>4.55</v>
      </c>
      <c r="E34" s="14" t="n">
        <v>4.65</v>
      </c>
      <c r="F34" s="14" t="n">
        <v>5.1</v>
      </c>
      <c r="G34" s="32">
        <f>(F34-C34)*100</f>
        <v/>
      </c>
      <c r="H34" s="32">
        <f>(F34-D34)*100</f>
        <v/>
      </c>
      <c r="I34" s="32">
        <f>(F34-E34)*100</f>
        <v/>
      </c>
      <c r="J34" s="33">
        <f>G34-G$33</f>
        <v/>
      </c>
      <c r="K34" s="33">
        <f>H34-H$33</f>
        <v/>
      </c>
      <c r="L34" s="33">
        <f>I34-I$33</f>
        <v/>
      </c>
    </row>
    <row r="35">
      <c r="A35" s="4" t="inlineStr">
        <is>
          <t>1998 LTCM insurance</t>
        </is>
      </c>
      <c r="B35" s="4" t="n">
        <v>6</v>
      </c>
      <c r="C35" s="14" t="n">
        <v>5.05</v>
      </c>
      <c r="D35" s="14" t="n">
        <v>5.1</v>
      </c>
      <c r="E35" s="14" t="n">
        <v>5.25</v>
      </c>
      <c r="F35" s="14" t="n">
        <v>5.6</v>
      </c>
      <c r="G35" s="32">
        <f>(F35-C35)*100</f>
        <v/>
      </c>
      <c r="H35" s="32">
        <f>(F35-D35)*100</f>
        <v/>
      </c>
      <c r="I35" s="32">
        <f>(F35-E35)*100</f>
        <v/>
      </c>
      <c r="J35" s="33">
        <f>G35-G$33</f>
        <v/>
      </c>
      <c r="K35" s="33">
        <f>H35-H$33</f>
        <v/>
      </c>
      <c r="L35" s="33">
        <f>I35-I$33</f>
        <v/>
      </c>
    </row>
    <row r="36">
      <c r="A36" s="17" t="inlineStr">
        <is>
          <t>1998 LTCM insurance</t>
        </is>
      </c>
      <c r="B36" s="17" t="n">
        <v>12</v>
      </c>
      <c r="C36" s="18" t="n">
        <v>5.65</v>
      </c>
      <c r="D36" s="18" t="n">
        <v>5.75</v>
      </c>
      <c r="E36" s="18" t="n">
        <v>5.9</v>
      </c>
      <c r="F36" s="18" t="n">
        <v>6.05</v>
      </c>
      <c r="G36" s="34">
        <f>(F36-C36)*100</f>
        <v/>
      </c>
      <c r="H36" s="34">
        <f>(F36-D36)*100</f>
        <v/>
      </c>
      <c r="I36" s="34">
        <f>(F36-E36)*100</f>
        <v/>
      </c>
      <c r="J36" s="35">
        <f>G36-G$33</f>
        <v/>
      </c>
      <c r="K36" s="35">
        <f>H36-H$33</f>
        <v/>
      </c>
      <c r="L36" s="35">
        <f>I36-I$33</f>
        <v/>
      </c>
    </row>
    <row r="37">
      <c r="A37" s="4" t="inlineStr">
        <is>
          <t>2001-03 dot-com</t>
        </is>
      </c>
      <c r="B37" s="4" t="n">
        <v>-6</v>
      </c>
      <c r="C37" s="14" t="n">
        <v>6.3</v>
      </c>
      <c r="D37" s="14" t="n">
        <v>6.15</v>
      </c>
      <c r="E37" s="14" t="n">
        <v>6.05</v>
      </c>
      <c r="F37" s="14" t="n">
        <v>5.9</v>
      </c>
      <c r="G37" s="32">
        <f>(F37-C37)*100</f>
        <v/>
      </c>
      <c r="H37" s="32">
        <f>(F37-D37)*100</f>
        <v/>
      </c>
      <c r="I37" s="32">
        <f>(F37-E37)*100</f>
        <v/>
      </c>
      <c r="J37" s="33">
        <f>G37-G$38</f>
        <v/>
      </c>
      <c r="K37" s="33">
        <f>H37-H$38</f>
        <v/>
      </c>
      <c r="L37" s="33">
        <f>I37-I$38</f>
        <v/>
      </c>
    </row>
    <row r="38">
      <c r="A38" s="4" t="inlineStr">
        <is>
          <t>2001-03 dot-com</t>
        </is>
      </c>
      <c r="B38" s="4" t="n">
        <v>0</v>
      </c>
      <c r="C38" s="14" t="n">
        <v>4.9</v>
      </c>
      <c r="D38" s="14" t="n">
        <v>4.9</v>
      </c>
      <c r="E38" s="14" t="n">
        <v>5.1</v>
      </c>
      <c r="F38" s="14" t="n">
        <v>5.45</v>
      </c>
      <c r="G38" s="32">
        <f>(F38-C38)*100</f>
        <v/>
      </c>
      <c r="H38" s="32">
        <f>(F38-D38)*100</f>
        <v/>
      </c>
      <c r="I38" s="32">
        <f>(F38-E38)*100</f>
        <v/>
      </c>
      <c r="J38" s="33">
        <f>G38-G$38</f>
        <v/>
      </c>
      <c r="K38" s="33">
        <f>H38-H$38</f>
        <v/>
      </c>
      <c r="L38" s="33">
        <f>I38-I$38</f>
        <v/>
      </c>
    </row>
    <row r="39">
      <c r="A39" s="4" t="inlineStr">
        <is>
          <t>2001-03 dot-com</t>
        </is>
      </c>
      <c r="B39" s="4" t="n">
        <v>3</v>
      </c>
      <c r="C39" s="14" t="n">
        <v>4.25</v>
      </c>
      <c r="D39" s="14" t="n">
        <v>4.75</v>
      </c>
      <c r="E39" s="14" t="n">
        <v>5.3</v>
      </c>
      <c r="F39" s="14" t="n">
        <v>5.8</v>
      </c>
      <c r="G39" s="32">
        <f>(F39-C39)*100</f>
        <v/>
      </c>
      <c r="H39" s="32">
        <f>(F39-D39)*100</f>
        <v/>
      </c>
      <c r="I39" s="32">
        <f>(F39-E39)*100</f>
        <v/>
      </c>
      <c r="J39" s="33">
        <f>G39-G$38</f>
        <v/>
      </c>
      <c r="K39" s="33">
        <f>H39-H$38</f>
        <v/>
      </c>
      <c r="L39" s="33">
        <f>I39-I$38</f>
        <v/>
      </c>
    </row>
    <row r="40">
      <c r="A40" s="4" t="inlineStr">
        <is>
          <t>2001-03 dot-com</t>
        </is>
      </c>
      <c r="B40" s="4" t="n">
        <v>6</v>
      </c>
      <c r="C40" s="14" t="n">
        <v>3.8</v>
      </c>
      <c r="D40" s="14" t="n">
        <v>4.6</v>
      </c>
      <c r="E40" s="14" t="n">
        <v>5.05</v>
      </c>
      <c r="F40" s="14" t="n">
        <v>5.5</v>
      </c>
      <c r="G40" s="32">
        <f>(F40-C40)*100</f>
        <v/>
      </c>
      <c r="H40" s="32">
        <f>(F40-D40)*100</f>
        <v/>
      </c>
      <c r="I40" s="32">
        <f>(F40-E40)*100</f>
        <v/>
      </c>
      <c r="J40" s="33">
        <f>G40-G$38</f>
        <v/>
      </c>
      <c r="K40" s="33">
        <f>H40-H$38</f>
        <v/>
      </c>
      <c r="L40" s="33">
        <f>I40-I$38</f>
        <v/>
      </c>
    </row>
    <row r="41">
      <c r="A41" s="4" t="inlineStr">
        <is>
          <t>2001-03 dot-com</t>
        </is>
      </c>
      <c r="B41" s="4" t="n">
        <v>9</v>
      </c>
      <c r="C41" s="14" t="n">
        <v>2.5</v>
      </c>
      <c r="D41" s="14" t="n">
        <v>3.6</v>
      </c>
      <c r="E41" s="14" t="n">
        <v>4.3</v>
      </c>
      <c r="F41" s="14" t="n">
        <v>4.9</v>
      </c>
      <c r="G41" s="32">
        <f>(F41-C41)*100</f>
        <v/>
      </c>
      <c r="H41" s="32">
        <f>(F41-D41)*100</f>
        <v/>
      </c>
      <c r="I41" s="32">
        <f>(F41-E41)*100</f>
        <v/>
      </c>
      <c r="J41" s="33">
        <f>G41-G$38</f>
        <v/>
      </c>
      <c r="K41" s="33">
        <f>H41-H$38</f>
        <v/>
      </c>
      <c r="L41" s="33">
        <f>I41-I$38</f>
        <v/>
      </c>
    </row>
    <row r="42">
      <c r="A42" s="4" t="inlineStr">
        <is>
          <t>2001-03 dot-com</t>
        </is>
      </c>
      <c r="B42" s="4" t="n">
        <v>12</v>
      </c>
      <c r="C42" s="14" t="n">
        <v>3</v>
      </c>
      <c r="D42" s="14" t="n">
        <v>4.3</v>
      </c>
      <c r="E42" s="14" t="n">
        <v>5</v>
      </c>
      <c r="F42" s="14" t="n">
        <v>5.4</v>
      </c>
      <c r="G42" s="32">
        <f>(F42-C42)*100</f>
        <v/>
      </c>
      <c r="H42" s="32">
        <f>(F42-D42)*100</f>
        <v/>
      </c>
      <c r="I42" s="32">
        <f>(F42-E42)*100</f>
        <v/>
      </c>
      <c r="J42" s="33">
        <f>G42-G$38</f>
        <v/>
      </c>
      <c r="K42" s="33">
        <f>H42-H$38</f>
        <v/>
      </c>
      <c r="L42" s="33">
        <f>I42-I$38</f>
        <v/>
      </c>
    </row>
    <row r="43">
      <c r="A43" s="4" t="inlineStr">
        <is>
          <t>2001-03 dot-com</t>
        </is>
      </c>
      <c r="B43" s="4" t="n">
        <v>18</v>
      </c>
      <c r="C43" s="14" t="n">
        <v>2.2</v>
      </c>
      <c r="D43" s="14" t="n">
        <v>3.4</v>
      </c>
      <c r="E43" s="14" t="n">
        <v>4.5</v>
      </c>
      <c r="F43" s="14" t="n">
        <v>5.3</v>
      </c>
      <c r="G43" s="32">
        <f>(F43-C43)*100</f>
        <v/>
      </c>
      <c r="H43" s="32">
        <f>(F43-D43)*100</f>
        <v/>
      </c>
      <c r="I43" s="32">
        <f>(F43-E43)*100</f>
        <v/>
      </c>
      <c r="J43" s="33">
        <f>G43-G$38</f>
        <v/>
      </c>
      <c r="K43" s="33">
        <f>H43-H$38</f>
        <v/>
      </c>
      <c r="L43" s="33">
        <f>I43-I$38</f>
        <v/>
      </c>
    </row>
    <row r="44">
      <c r="A44" s="4" t="inlineStr">
        <is>
          <t>2001-03 dot-com</t>
        </is>
      </c>
      <c r="B44" s="4" t="n">
        <v>24</v>
      </c>
      <c r="C44" s="14" t="n">
        <v>1.7</v>
      </c>
      <c r="D44" s="14" t="n">
        <v>2.9</v>
      </c>
      <c r="E44" s="14" t="n">
        <v>4</v>
      </c>
      <c r="F44" s="14" t="n">
        <v>4.85</v>
      </c>
      <c r="G44" s="32">
        <f>(F44-C44)*100</f>
        <v/>
      </c>
      <c r="H44" s="32">
        <f>(F44-D44)*100</f>
        <v/>
      </c>
      <c r="I44" s="32">
        <f>(F44-E44)*100</f>
        <v/>
      </c>
      <c r="J44" s="33">
        <f>G44-G$38</f>
        <v/>
      </c>
      <c r="K44" s="33">
        <f>H44-H$38</f>
        <v/>
      </c>
      <c r="L44" s="33">
        <f>I44-I$38</f>
        <v/>
      </c>
    </row>
    <row r="45">
      <c r="A45" s="17" t="inlineStr">
        <is>
          <t>2001-03 dot-com</t>
        </is>
      </c>
      <c r="B45" s="17" t="n">
        <v>30</v>
      </c>
      <c r="C45" s="18" t="n">
        <v>1.5</v>
      </c>
      <c r="D45" s="18" t="n">
        <v>2.7</v>
      </c>
      <c r="E45" s="18" t="n">
        <v>4.3</v>
      </c>
      <c r="F45" s="18" t="n">
        <v>5.2</v>
      </c>
      <c r="G45" s="34">
        <f>(F45-C45)*100</f>
        <v/>
      </c>
      <c r="H45" s="34">
        <f>(F45-D45)*100</f>
        <v/>
      </c>
      <c r="I45" s="34">
        <f>(F45-E45)*100</f>
        <v/>
      </c>
      <c r="J45" s="35">
        <f>G45-G$38</f>
        <v/>
      </c>
      <c r="K45" s="35">
        <f>H45-H$38</f>
        <v/>
      </c>
      <c r="L45" s="35">
        <f>I45-I$38</f>
        <v/>
      </c>
    </row>
    <row r="46">
      <c r="A46" s="4" t="inlineStr">
        <is>
          <t>2007-08 GFC</t>
        </is>
      </c>
      <c r="B46" s="4" t="n">
        <v>-6</v>
      </c>
      <c r="C46" s="14" t="n">
        <v>4.6</v>
      </c>
      <c r="D46" s="14" t="n">
        <v>4.5</v>
      </c>
      <c r="E46" s="14" t="n">
        <v>4.65</v>
      </c>
      <c r="F46" s="14" t="n">
        <v>4.85</v>
      </c>
      <c r="G46" s="32">
        <f>(F46-C46)*100</f>
        <v/>
      </c>
      <c r="H46" s="32">
        <f>(F46-D46)*100</f>
        <v/>
      </c>
      <c r="I46" s="32">
        <f>(F46-E46)*100</f>
        <v/>
      </c>
      <c r="J46" s="33">
        <f>G46-G$47</f>
        <v/>
      </c>
      <c r="K46" s="33">
        <f>H46-H$47</f>
        <v/>
      </c>
      <c r="L46" s="33">
        <f>I46-I$47</f>
        <v/>
      </c>
    </row>
    <row r="47">
      <c r="A47" s="4" t="inlineStr">
        <is>
          <t>2007-08 GFC</t>
        </is>
      </c>
      <c r="B47" s="4" t="n">
        <v>0</v>
      </c>
      <c r="C47" s="14" t="n">
        <v>4</v>
      </c>
      <c r="D47" s="14" t="n">
        <v>4.2</v>
      </c>
      <c r="E47" s="14" t="n">
        <v>4.6</v>
      </c>
      <c r="F47" s="14" t="n">
        <v>4.85</v>
      </c>
      <c r="G47" s="32">
        <f>(F47-C47)*100</f>
        <v/>
      </c>
      <c r="H47" s="32">
        <f>(F47-D47)*100</f>
        <v/>
      </c>
      <c r="I47" s="32">
        <f>(F47-E47)*100</f>
        <v/>
      </c>
      <c r="J47" s="33">
        <f>G47-G$47</f>
        <v/>
      </c>
      <c r="K47" s="33">
        <f>H47-H$47</f>
        <v/>
      </c>
      <c r="L47" s="33">
        <f>I47-I$47</f>
        <v/>
      </c>
    </row>
    <row r="48">
      <c r="A48" s="4" t="inlineStr">
        <is>
          <t>2007-08 GFC</t>
        </is>
      </c>
      <c r="B48" s="4" t="n">
        <v>3</v>
      </c>
      <c r="C48" s="14" t="n">
        <v>3.05</v>
      </c>
      <c r="D48" s="14" t="n">
        <v>3.45</v>
      </c>
      <c r="E48" s="14" t="n">
        <v>4.05</v>
      </c>
      <c r="F48" s="14" t="n">
        <v>4.45</v>
      </c>
      <c r="G48" s="32">
        <f>(F48-C48)*100</f>
        <v/>
      </c>
      <c r="H48" s="32">
        <f>(F48-D48)*100</f>
        <v/>
      </c>
      <c r="I48" s="32">
        <f>(F48-E48)*100</f>
        <v/>
      </c>
      <c r="J48" s="33">
        <f>G48-G$47</f>
        <v/>
      </c>
      <c r="K48" s="33">
        <f>H48-H$47</f>
        <v/>
      </c>
      <c r="L48" s="33">
        <f>I48-I$47</f>
        <v/>
      </c>
    </row>
    <row r="49">
      <c r="A49" s="4" t="inlineStr">
        <is>
          <t>2007-08 GFC</t>
        </is>
      </c>
      <c r="B49" s="4" t="n">
        <v>6</v>
      </c>
      <c r="C49" s="14" t="n">
        <v>1.6</v>
      </c>
      <c r="D49" s="14" t="n">
        <v>2.45</v>
      </c>
      <c r="E49" s="14" t="n">
        <v>3.4</v>
      </c>
      <c r="F49" s="14" t="n">
        <v>4.3</v>
      </c>
      <c r="G49" s="32">
        <f>(F49-C49)*100</f>
        <v/>
      </c>
      <c r="H49" s="32">
        <f>(F49-D49)*100</f>
        <v/>
      </c>
      <c r="I49" s="32">
        <f>(F49-E49)*100</f>
        <v/>
      </c>
      <c r="J49" s="33">
        <f>G49-G$47</f>
        <v/>
      </c>
      <c r="K49" s="33">
        <f>H49-H$47</f>
        <v/>
      </c>
      <c r="L49" s="33">
        <f>I49-I$47</f>
        <v/>
      </c>
    </row>
    <row r="50">
      <c r="A50" s="4" t="inlineStr">
        <is>
          <t>2007-08 GFC</t>
        </is>
      </c>
      <c r="B50" s="4" t="n">
        <v>9</v>
      </c>
      <c r="C50" s="14" t="n">
        <v>2.6</v>
      </c>
      <c r="D50" s="14" t="n">
        <v>3.35</v>
      </c>
      <c r="E50" s="14" t="n">
        <v>4</v>
      </c>
      <c r="F50" s="14" t="n">
        <v>4.6</v>
      </c>
      <c r="G50" s="32">
        <f>(F50-C50)*100</f>
        <v/>
      </c>
      <c r="H50" s="32">
        <f>(F50-D50)*100</f>
        <v/>
      </c>
      <c r="I50" s="32">
        <f>(F50-E50)*100</f>
        <v/>
      </c>
      <c r="J50" s="33">
        <f>G50-G$47</f>
        <v/>
      </c>
      <c r="K50" s="33">
        <f>H50-H$47</f>
        <v/>
      </c>
      <c r="L50" s="33">
        <f>I50-I$47</f>
        <v/>
      </c>
    </row>
    <row r="51">
      <c r="A51" s="4" t="inlineStr">
        <is>
          <t>2007-08 GFC</t>
        </is>
      </c>
      <c r="B51" s="4" t="n">
        <v>12</v>
      </c>
      <c r="C51" s="14" t="n">
        <v>2</v>
      </c>
      <c r="D51" s="14" t="n">
        <v>2.95</v>
      </c>
      <c r="E51" s="14" t="n">
        <v>3.85</v>
      </c>
      <c r="F51" s="14" t="n">
        <v>4.3</v>
      </c>
      <c r="G51" s="32">
        <f>(F51-C51)*100</f>
        <v/>
      </c>
      <c r="H51" s="32">
        <f>(F51-D51)*100</f>
        <v/>
      </c>
      <c r="I51" s="32">
        <f>(F51-E51)*100</f>
        <v/>
      </c>
      <c r="J51" s="33">
        <f>G51-G$47</f>
        <v/>
      </c>
      <c r="K51" s="33">
        <f>H51-H$47</f>
        <v/>
      </c>
      <c r="L51" s="33">
        <f>I51-I$47</f>
        <v/>
      </c>
    </row>
    <row r="52">
      <c r="A52" s="4" t="inlineStr">
        <is>
          <t>2007-08 GFC</t>
        </is>
      </c>
      <c r="B52" s="4" t="n">
        <v>15</v>
      </c>
      <c r="C52" s="14" t="n">
        <v>0.75</v>
      </c>
      <c r="D52" s="14" t="n">
        <v>1.55</v>
      </c>
      <c r="E52" s="14" t="n">
        <v>2.2</v>
      </c>
      <c r="F52" s="14" t="n">
        <v>2.7</v>
      </c>
      <c r="G52" s="32">
        <f>(F52-C52)*100</f>
        <v/>
      </c>
      <c r="H52" s="32">
        <f>(F52-D52)*100</f>
        <v/>
      </c>
      <c r="I52" s="32">
        <f>(F52-E52)*100</f>
        <v/>
      </c>
      <c r="J52" s="33">
        <f>G52-G$47</f>
        <v/>
      </c>
      <c r="K52" s="33">
        <f>H52-H$47</f>
        <v/>
      </c>
      <c r="L52" s="33">
        <f>I52-I$47</f>
        <v/>
      </c>
    </row>
    <row r="53">
      <c r="A53" s="4" t="inlineStr">
        <is>
          <t>2007-08 GFC</t>
        </is>
      </c>
      <c r="B53" s="4" t="n">
        <v>18</v>
      </c>
      <c r="C53" s="14" t="n">
        <v>0.85</v>
      </c>
      <c r="D53" s="14" t="n">
        <v>1.65</v>
      </c>
      <c r="E53" s="14" t="n">
        <v>2.7</v>
      </c>
      <c r="F53" s="14" t="n">
        <v>3.55</v>
      </c>
      <c r="G53" s="32">
        <f>(F53-C53)*100</f>
        <v/>
      </c>
      <c r="H53" s="32">
        <f>(F53-D53)*100</f>
        <v/>
      </c>
      <c r="I53" s="32">
        <f>(F53-E53)*100</f>
        <v/>
      </c>
      <c r="J53" s="33">
        <f>G53-G$47</f>
        <v/>
      </c>
      <c r="K53" s="33">
        <f>H53-H$47</f>
        <v/>
      </c>
      <c r="L53" s="33">
        <f>I53-I$47</f>
        <v/>
      </c>
    </row>
    <row r="54">
      <c r="A54" s="4" t="inlineStr">
        <is>
          <t>2007-08 GFC</t>
        </is>
      </c>
      <c r="B54" s="4" t="n">
        <v>24</v>
      </c>
      <c r="C54" s="14" t="n">
        <v>0.95</v>
      </c>
      <c r="D54" s="14" t="n">
        <v>2.3</v>
      </c>
      <c r="E54" s="14" t="n">
        <v>3.3</v>
      </c>
      <c r="F54" s="14" t="n">
        <v>4.05</v>
      </c>
      <c r="G54" s="32">
        <f>(F54-C54)*100</f>
        <v/>
      </c>
      <c r="H54" s="32">
        <f>(F54-D54)*100</f>
        <v/>
      </c>
      <c r="I54" s="32">
        <f>(F54-E54)*100</f>
        <v/>
      </c>
      <c r="J54" s="33">
        <f>G54-G$47</f>
        <v/>
      </c>
      <c r="K54" s="33">
        <f>H54-H$47</f>
        <v/>
      </c>
      <c r="L54" s="33">
        <f>I54-I$47</f>
        <v/>
      </c>
    </row>
    <row r="55">
      <c r="A55" s="4" t="inlineStr">
        <is>
          <t>2007-08 GFC</t>
        </is>
      </c>
      <c r="B55" s="4" t="n">
        <v>30</v>
      </c>
      <c r="C55" s="14" t="n">
        <v>1</v>
      </c>
      <c r="D55" s="14" t="n">
        <v>2.55</v>
      </c>
      <c r="E55" s="14" t="n">
        <v>3.85</v>
      </c>
      <c r="F55" s="14" t="n">
        <v>4.7</v>
      </c>
      <c r="G55" s="32">
        <f>(F55-C55)*100</f>
        <v/>
      </c>
      <c r="H55" s="32">
        <f>(F55-D55)*100</f>
        <v/>
      </c>
      <c r="I55" s="32">
        <f>(F55-E55)*100</f>
        <v/>
      </c>
      <c r="J55" s="33">
        <f>G55-G$47</f>
        <v/>
      </c>
      <c r="K55" s="33">
        <f>H55-H$47</f>
        <v/>
      </c>
      <c r="L55" s="33">
        <f>I55-I$47</f>
        <v/>
      </c>
    </row>
    <row r="56">
      <c r="A56" s="17" t="inlineStr">
        <is>
          <t>2007-08 GFC</t>
        </is>
      </c>
      <c r="B56" s="17" t="n">
        <v>38</v>
      </c>
      <c r="C56" s="18" t="n">
        <v>0.45</v>
      </c>
      <c r="D56" s="18" t="n">
        <v>1.15</v>
      </c>
      <c r="E56" s="18" t="n">
        <v>2.6</v>
      </c>
      <c r="F56" s="18" t="n">
        <v>4.1</v>
      </c>
      <c r="G56" s="34">
        <f>(F56-C56)*100</f>
        <v/>
      </c>
      <c r="H56" s="34">
        <f>(F56-D56)*100</f>
        <v/>
      </c>
      <c r="I56" s="34">
        <f>(F56-E56)*100</f>
        <v/>
      </c>
      <c r="J56" s="35">
        <f>G56-G$47</f>
        <v/>
      </c>
      <c r="K56" s="35">
        <f>H56-H$47</f>
        <v/>
      </c>
      <c r="L56" s="35">
        <f>I56-I$47</f>
        <v/>
      </c>
    </row>
    <row r="57">
      <c r="A57" s="4" t="inlineStr">
        <is>
          <t>2019-20 mid-cycle + COVID</t>
        </is>
      </c>
      <c r="B57" s="4" t="n">
        <v>-6</v>
      </c>
      <c r="C57" s="14" t="n">
        <v>2.6</v>
      </c>
      <c r="D57" s="14" t="n">
        <v>2.6</v>
      </c>
      <c r="E57" s="14" t="n">
        <v>2.75</v>
      </c>
      <c r="F57" s="14" t="n">
        <v>3.05</v>
      </c>
      <c r="G57" s="32">
        <f>(F57-C57)*100</f>
        <v/>
      </c>
      <c r="H57" s="32">
        <f>(F57-D57)*100</f>
        <v/>
      </c>
      <c r="I57" s="32">
        <f>(F57-E57)*100</f>
        <v/>
      </c>
      <c r="J57" s="33">
        <f>G57-G$58</f>
        <v/>
      </c>
      <c r="K57" s="33">
        <f>H57-H$58</f>
        <v/>
      </c>
      <c r="L57" s="33">
        <f>I57-I$58</f>
        <v/>
      </c>
    </row>
    <row r="58">
      <c r="A58" s="4" t="inlineStr">
        <is>
          <t>2019-20 mid-cycle + COVID</t>
        </is>
      </c>
      <c r="B58" s="4" t="n">
        <v>0</v>
      </c>
      <c r="C58" s="14" t="n">
        <v>1.89</v>
      </c>
      <c r="D58" s="14" t="n">
        <v>1.84</v>
      </c>
      <c r="E58" s="14" t="n">
        <v>2.02</v>
      </c>
      <c r="F58" s="14" t="n">
        <v>2.53</v>
      </c>
      <c r="G58" s="32">
        <f>(F58-C58)*100</f>
        <v/>
      </c>
      <c r="H58" s="32">
        <f>(F58-D58)*100</f>
        <v/>
      </c>
      <c r="I58" s="32">
        <f>(F58-E58)*100</f>
        <v/>
      </c>
      <c r="J58" s="33">
        <f>G58-G$58</f>
        <v/>
      </c>
      <c r="K58" s="33">
        <f>H58-H$58</f>
        <v/>
      </c>
      <c r="L58" s="33">
        <f>I58-I$58</f>
        <v/>
      </c>
    </row>
    <row r="59">
      <c r="A59" s="4" t="inlineStr">
        <is>
          <t>2019-20 mid-cycle + COVID</t>
        </is>
      </c>
      <c r="B59" s="4" t="n">
        <v>3</v>
      </c>
      <c r="C59" s="14" t="n">
        <v>1.55</v>
      </c>
      <c r="D59" s="14" t="n">
        <v>1.55</v>
      </c>
      <c r="E59" s="14" t="n">
        <v>1.7</v>
      </c>
      <c r="F59" s="14" t="n">
        <v>2.2</v>
      </c>
      <c r="G59" s="32">
        <f>(F59-C59)*100</f>
        <v/>
      </c>
      <c r="H59" s="32">
        <f>(F59-D59)*100</f>
        <v/>
      </c>
      <c r="I59" s="32">
        <f>(F59-E59)*100</f>
        <v/>
      </c>
      <c r="J59" s="33">
        <f>G59-G$58</f>
        <v/>
      </c>
      <c r="K59" s="33">
        <f>H59-H$58</f>
        <v/>
      </c>
      <c r="L59" s="33">
        <f>I59-I$58</f>
        <v/>
      </c>
    </row>
    <row r="60">
      <c r="A60" s="4" t="inlineStr">
        <is>
          <t>2019-20 mid-cycle + COVID</t>
        </is>
      </c>
      <c r="B60" s="4" t="n">
        <v>6</v>
      </c>
      <c r="C60" s="14" t="n">
        <v>1.35</v>
      </c>
      <c r="D60" s="14" t="n">
        <v>1.35</v>
      </c>
      <c r="E60" s="14" t="n">
        <v>1.5</v>
      </c>
      <c r="F60" s="14" t="n">
        <v>2</v>
      </c>
      <c r="G60" s="32">
        <f>(F60-C60)*100</f>
        <v/>
      </c>
      <c r="H60" s="32">
        <f>(F60-D60)*100</f>
        <v/>
      </c>
      <c r="I60" s="32">
        <f>(F60-E60)*100</f>
        <v/>
      </c>
      <c r="J60" s="33">
        <f>G60-G$58</f>
        <v/>
      </c>
      <c r="K60" s="33">
        <f>H60-H$58</f>
        <v/>
      </c>
      <c r="L60" s="33">
        <f>I60-I$58</f>
        <v/>
      </c>
    </row>
    <row r="61">
      <c r="A61" s="4" t="inlineStr">
        <is>
          <t>2019-20 mid-cycle + COVID</t>
        </is>
      </c>
      <c r="B61" s="4" t="n">
        <v>9</v>
      </c>
      <c r="C61" s="14" t="n">
        <v>0.2</v>
      </c>
      <c r="D61" s="14" t="n">
        <v>0.35</v>
      </c>
      <c r="E61" s="14" t="n">
        <v>0.65</v>
      </c>
      <c r="F61" s="14" t="n">
        <v>1.25</v>
      </c>
      <c r="G61" s="32">
        <f>(F61-C61)*100</f>
        <v/>
      </c>
      <c r="H61" s="32">
        <f>(F61-D61)*100</f>
        <v/>
      </c>
      <c r="I61" s="32">
        <f>(F61-E61)*100</f>
        <v/>
      </c>
      <c r="J61" s="33">
        <f>G61-G$58</f>
        <v/>
      </c>
      <c r="K61" s="33">
        <f>H61-H$58</f>
        <v/>
      </c>
      <c r="L61" s="33">
        <f>I61-I$58</f>
        <v/>
      </c>
    </row>
    <row r="62">
      <c r="A62" s="4" t="inlineStr">
        <is>
          <t>2019-20 mid-cycle + COVID</t>
        </is>
      </c>
      <c r="B62" s="4" t="n">
        <v>12</v>
      </c>
      <c r="C62" s="14" t="n">
        <v>0.11</v>
      </c>
      <c r="D62" s="14" t="n">
        <v>0.21</v>
      </c>
      <c r="E62" s="14" t="n">
        <v>0.55</v>
      </c>
      <c r="F62" s="14" t="n">
        <v>1.2</v>
      </c>
      <c r="G62" s="32">
        <f>(F62-C62)*100</f>
        <v/>
      </c>
      <c r="H62" s="32">
        <f>(F62-D62)*100</f>
        <v/>
      </c>
      <c r="I62" s="32">
        <f>(F62-E62)*100</f>
        <v/>
      </c>
      <c r="J62" s="33">
        <f>G62-G$58</f>
        <v/>
      </c>
      <c r="K62" s="33">
        <f>H62-H$58</f>
        <v/>
      </c>
      <c r="L62" s="33">
        <f>I62-I$58</f>
        <v/>
      </c>
    </row>
    <row r="63">
      <c r="A63" s="4" t="inlineStr">
        <is>
          <t>2019-20 mid-cycle + COVID</t>
        </is>
      </c>
      <c r="B63" s="4" t="n">
        <v>18</v>
      </c>
      <c r="C63" s="14" t="n">
        <v>0.11</v>
      </c>
      <c r="D63" s="14" t="n">
        <v>0.45</v>
      </c>
      <c r="E63" s="14" t="n">
        <v>1.1</v>
      </c>
      <c r="F63" s="14" t="n">
        <v>1.85</v>
      </c>
      <c r="G63" s="32">
        <f>(F63-C63)*100</f>
        <v/>
      </c>
      <c r="H63" s="32">
        <f>(F63-D63)*100</f>
        <v/>
      </c>
      <c r="I63" s="32">
        <f>(F63-E63)*100</f>
        <v/>
      </c>
      <c r="J63" s="33">
        <f>G63-G$58</f>
        <v/>
      </c>
      <c r="K63" s="33">
        <f>H63-H$58</f>
        <v/>
      </c>
      <c r="L63" s="33">
        <f>I63-I$58</f>
        <v/>
      </c>
    </row>
    <row r="64">
      <c r="A64" s="4" t="inlineStr">
        <is>
          <t>2019-20 mid-cycle + COVID</t>
        </is>
      </c>
      <c r="B64" s="4" t="n">
        <v>20</v>
      </c>
      <c r="C64" s="14" t="n">
        <v>0.14</v>
      </c>
      <c r="D64" s="14" t="n">
        <v>0.92</v>
      </c>
      <c r="E64" s="14" t="n">
        <v>1.74</v>
      </c>
      <c r="F64" s="14" t="n">
        <v>2.41</v>
      </c>
      <c r="G64" s="32">
        <f>(F64-C64)*100</f>
        <v/>
      </c>
      <c r="H64" s="32">
        <f>(F64-D64)*100</f>
        <v/>
      </c>
      <c r="I64" s="32">
        <f>(F64-E64)*100</f>
        <v/>
      </c>
      <c r="J64" s="33">
        <f>G64-G$58</f>
        <v/>
      </c>
      <c r="K64" s="33">
        <f>H64-H$58</f>
        <v/>
      </c>
      <c r="L64" s="33">
        <f>I64-I$58</f>
        <v/>
      </c>
    </row>
    <row r="65">
      <c r="A65" s="17" t="inlineStr">
        <is>
          <t>2019-20 mid-cycle + COVID</t>
        </is>
      </c>
      <c r="B65" s="17" t="n">
        <v>24</v>
      </c>
      <c r="C65" s="18" t="n">
        <v>0.19</v>
      </c>
      <c r="D65" s="18" t="n">
        <v>0.6899999999999999</v>
      </c>
      <c r="E65" s="18" t="n">
        <v>1.24</v>
      </c>
      <c r="F65" s="18" t="n">
        <v>1.9</v>
      </c>
      <c r="G65" s="34">
        <f>(F65-C65)*100</f>
        <v/>
      </c>
      <c r="H65" s="34">
        <f>(F65-D65)*100</f>
        <v/>
      </c>
      <c r="I65" s="34">
        <f>(F65-E65)*100</f>
        <v/>
      </c>
      <c r="J65" s="35">
        <f>G65-G$58</f>
        <v/>
      </c>
      <c r="K65" s="35">
        <f>H65-H$58</f>
        <v/>
      </c>
      <c r="L65" s="35">
        <f>I65-I$58</f>
        <v/>
      </c>
    </row>
    <row r="66">
      <c r="A66" s="4" t="inlineStr">
        <is>
          <t>2024-25 (current cycle)</t>
        </is>
      </c>
      <c r="B66" s="4" t="n">
        <v>-6</v>
      </c>
      <c r="C66" s="14" t="n">
        <v>4.6</v>
      </c>
      <c r="D66" s="14" t="n">
        <v>4.2</v>
      </c>
      <c r="E66" s="14" t="n">
        <v>4.2</v>
      </c>
      <c r="F66" s="14" t="n">
        <v>4.35</v>
      </c>
      <c r="G66" s="32">
        <f>(F66-C66)*100</f>
        <v/>
      </c>
      <c r="H66" s="32">
        <f>(F66-D66)*100</f>
        <v/>
      </c>
      <c r="I66" s="32">
        <f>(F66-E66)*100</f>
        <v/>
      </c>
      <c r="J66" s="33">
        <f>G66-G$67</f>
        <v/>
      </c>
      <c r="K66" s="33">
        <f>H66-H$67</f>
        <v/>
      </c>
      <c r="L66" s="33">
        <f>I66-I$67</f>
        <v/>
      </c>
    </row>
    <row r="67">
      <c r="A67" s="4" t="inlineStr">
        <is>
          <t>2024-25 (current cycle)</t>
        </is>
      </c>
      <c r="B67" s="4" t="n">
        <v>0</v>
      </c>
      <c r="C67" s="14" t="n">
        <v>3.6</v>
      </c>
      <c r="D67" s="14" t="n">
        <v>3.5</v>
      </c>
      <c r="E67" s="14" t="n">
        <v>3.7</v>
      </c>
      <c r="F67" s="14" t="n">
        <v>4</v>
      </c>
      <c r="G67" s="32">
        <f>(F67-C67)*100</f>
        <v/>
      </c>
      <c r="H67" s="32">
        <f>(F67-D67)*100</f>
        <v/>
      </c>
      <c r="I67" s="32">
        <f>(F67-E67)*100</f>
        <v/>
      </c>
      <c r="J67" s="33">
        <f>G67-G$67</f>
        <v/>
      </c>
      <c r="K67" s="33">
        <f>H67-H$67</f>
        <v/>
      </c>
      <c r="L67" s="33">
        <f>I67-I$67</f>
        <v/>
      </c>
    </row>
    <row r="68">
      <c r="A68" s="4" t="inlineStr">
        <is>
          <t>2024-25 (current cycle)</t>
        </is>
      </c>
      <c r="B68" s="4" t="n">
        <v>3</v>
      </c>
      <c r="C68" s="14" t="n">
        <v>4.25</v>
      </c>
      <c r="D68" s="14" t="n">
        <v>4.4</v>
      </c>
      <c r="E68" s="14" t="n">
        <v>4.55</v>
      </c>
      <c r="F68" s="14" t="n">
        <v>4.8</v>
      </c>
      <c r="G68" s="32">
        <f>(F68-C68)*100</f>
        <v/>
      </c>
      <c r="H68" s="32">
        <f>(F68-D68)*100</f>
        <v/>
      </c>
      <c r="I68" s="32">
        <f>(F68-E68)*100</f>
        <v/>
      </c>
      <c r="J68" s="33">
        <f>G68-G$67</f>
        <v/>
      </c>
      <c r="K68" s="33">
        <f>H68-H$67</f>
        <v/>
      </c>
      <c r="L68" s="33">
        <f>I68-I$67</f>
        <v/>
      </c>
    </row>
    <row r="69">
      <c r="A69" s="4" t="inlineStr">
        <is>
          <t>2024-25 (current cycle)</t>
        </is>
      </c>
      <c r="B69" s="4" t="n">
        <v>6</v>
      </c>
      <c r="C69" s="14" t="n">
        <v>3.9</v>
      </c>
      <c r="D69" s="14" t="n">
        <v>3.95</v>
      </c>
      <c r="E69" s="14" t="n">
        <v>4.2</v>
      </c>
      <c r="F69" s="14" t="n">
        <v>4.6</v>
      </c>
      <c r="G69" s="32">
        <f>(F69-C69)*100</f>
        <v/>
      </c>
      <c r="H69" s="32">
        <f>(F69-D69)*100</f>
        <v/>
      </c>
      <c r="I69" s="32">
        <f>(F69-E69)*100</f>
        <v/>
      </c>
      <c r="J69" s="33">
        <f>G69-G$67</f>
        <v/>
      </c>
      <c r="K69" s="33">
        <f>H69-H$67</f>
        <v/>
      </c>
      <c r="L69" s="33">
        <f>I69-I$67</f>
        <v/>
      </c>
    </row>
    <row r="70">
      <c r="A70" s="4" t="inlineStr">
        <is>
          <t>2024-25 (current cycle)</t>
        </is>
      </c>
      <c r="B70" s="4" t="n">
        <v>9</v>
      </c>
      <c r="C70" s="14" t="n">
        <v>3.7</v>
      </c>
      <c r="D70" s="14" t="n">
        <v>3.8</v>
      </c>
      <c r="E70" s="14" t="n">
        <v>4.25</v>
      </c>
      <c r="F70" s="14" t="n">
        <v>4.8</v>
      </c>
      <c r="G70" s="32">
        <f>(F70-C70)*100</f>
        <v/>
      </c>
      <c r="H70" s="32">
        <f>(F70-D70)*100</f>
        <v/>
      </c>
      <c r="I70" s="32">
        <f>(F70-E70)*100</f>
        <v/>
      </c>
      <c r="J70" s="33">
        <f>G70-G$67</f>
        <v/>
      </c>
      <c r="K70" s="33">
        <f>H70-H$67</f>
        <v/>
      </c>
      <c r="L70" s="33">
        <f>I70-I$67</f>
        <v/>
      </c>
    </row>
    <row r="71">
      <c r="A71" s="4" t="inlineStr">
        <is>
          <t>2024-25 (current cycle)</t>
        </is>
      </c>
      <c r="B71" s="4" t="n">
        <v>12</v>
      </c>
      <c r="C71" s="14" t="n">
        <v>3.6</v>
      </c>
      <c r="D71" s="14" t="n">
        <v>3.7</v>
      </c>
      <c r="E71" s="14" t="n">
        <v>4.15</v>
      </c>
      <c r="F71" s="14" t="n">
        <v>4.75</v>
      </c>
      <c r="G71" s="32">
        <f>(F71-C71)*100</f>
        <v/>
      </c>
      <c r="H71" s="32">
        <f>(F71-D71)*100</f>
        <v/>
      </c>
      <c r="I71" s="32">
        <f>(F71-E71)*100</f>
        <v/>
      </c>
      <c r="J71" s="33">
        <f>G71-G$67</f>
        <v/>
      </c>
      <c r="K71" s="33">
        <f>H71-H$67</f>
        <v/>
      </c>
      <c r="L71" s="33">
        <f>I71-I$67</f>
        <v/>
      </c>
    </row>
    <row r="72">
      <c r="A72" s="4" t="inlineStr">
        <is>
          <t>2024-25 (current cycle)</t>
        </is>
      </c>
      <c r="B72" s="4" t="n">
        <v>15</v>
      </c>
      <c r="C72" s="14" t="n">
        <v>3.6</v>
      </c>
      <c r="D72" s="14" t="n">
        <v>3.75</v>
      </c>
      <c r="E72" s="14" t="n">
        <v>4.2</v>
      </c>
      <c r="F72" s="14" t="n">
        <v>4.85</v>
      </c>
      <c r="G72" s="32">
        <f>(F72-C72)*100</f>
        <v/>
      </c>
      <c r="H72" s="32">
        <f>(F72-D72)*100</f>
        <v/>
      </c>
      <c r="I72" s="32">
        <f>(F72-E72)*100</f>
        <v/>
      </c>
      <c r="J72" s="33">
        <f>G72-G$67</f>
        <v/>
      </c>
      <c r="K72" s="33">
        <f>H72-H$67</f>
        <v/>
      </c>
      <c r="L72" s="33">
        <f>I72-I$67</f>
        <v/>
      </c>
    </row>
    <row r="73">
      <c r="A73" s="17" t="inlineStr">
        <is>
          <t>2024-25 (current cycle)</t>
        </is>
      </c>
      <c r="B73" s="17" t="n">
        <v>23</v>
      </c>
      <c r="C73" s="18" t="n">
        <v>4.24</v>
      </c>
      <c r="D73" s="18" t="n">
        <v>4.38</v>
      </c>
      <c r="E73" s="18" t="n">
        <v>4.67</v>
      </c>
      <c r="F73" s="18" t="n">
        <v>5.19</v>
      </c>
      <c r="G73" s="34">
        <f>(F73-C73)*100</f>
        <v/>
      </c>
      <c r="H73" s="34">
        <f>(F73-D73)*100</f>
        <v/>
      </c>
      <c r="I73" s="34">
        <f>(F73-E73)*100</f>
        <v/>
      </c>
      <c r="J73" s="35">
        <f>G73-G$67</f>
        <v/>
      </c>
      <c r="K73" s="35">
        <f>H73-H$67</f>
        <v/>
      </c>
      <c r="L73" s="35">
        <f>I73-I$67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2" t="inlineStr">
        <is>
          <t>5s30s steepener across Fed easing cycles — entry at first cut (T0), bp of curve</t>
        </is>
      </c>
    </row>
    <row r="2">
      <c r="A2" s="2" t="inlineStr">
        <is>
          <t>All results computed by formula from 'Yield Data'. Quarterly checkpoints understate intra-month peaks slightly.</t>
        </is>
      </c>
    </row>
    <row r="4">
      <c r="A4" s="13" t="inlineStr">
        <is>
          <t>Cycle</t>
        </is>
      </c>
      <c r="B4" s="13" t="inlineStr">
        <is>
          <t>First cut</t>
        </is>
      </c>
      <c r="C4" s="13" t="inlineStr">
        <is>
          <t>Cycle kind</t>
        </is>
      </c>
      <c r="D4" s="13" t="inlineStr">
        <is>
          <t>Data quality</t>
        </is>
      </c>
      <c r="E4" s="13" t="inlineStr">
        <is>
          <t>Funds start %</t>
        </is>
      </c>
      <c r="F4" s="13" t="inlineStr">
        <is>
          <t>Funds trough %</t>
        </is>
      </c>
      <c r="G4" s="13" t="inlineStr">
        <is>
          <t>Cuts (bp)</t>
        </is>
      </c>
      <c r="H4" s="13" t="inlineStr">
        <is>
          <t>5s30s @T0</t>
        </is>
      </c>
      <c r="I4" s="13" t="inlineStr">
        <is>
          <t>T-6m to T0 gain</t>
        </is>
      </c>
      <c r="J4" s="13" t="inlineStr">
        <is>
          <t>D +6m</t>
        </is>
      </c>
      <c r="K4" s="13" t="inlineStr">
        <is>
          <t>D +12m</t>
        </is>
      </c>
      <c r="L4" s="13" t="inlineStr">
        <is>
          <t>D +24m</t>
        </is>
      </c>
      <c r="M4" s="13" t="inlineStr">
        <is>
          <t>Peak D</t>
        </is>
      </c>
      <c r="N4" s="13" t="inlineStr">
        <is>
          <t>@ month</t>
        </is>
      </c>
      <c r="O4" s="13" t="inlineStr">
        <is>
          <t>Worst D</t>
        </is>
      </c>
      <c r="P4" s="13" t="inlineStr">
        <is>
          <t>Peak D 2s30s</t>
        </is>
      </c>
      <c r="Q4" s="13" t="inlineStr">
        <is>
          <t>Peak D 10s30s</t>
        </is>
      </c>
    </row>
    <row r="5">
      <c r="A5" s="4" t="inlineStr">
        <is>
          <t>1984 disinflation</t>
        </is>
      </c>
      <c r="B5" s="10" t="inlineStr">
        <is>
          <t>1984-09</t>
        </is>
      </c>
      <c r="C5" s="10" t="inlineStr">
        <is>
          <t>deep (no recession: disinflation easing)</t>
        </is>
      </c>
      <c r="D5" s="10" t="inlineStr">
        <is>
          <t>era~ (±25-30bp)</t>
        </is>
      </c>
      <c r="E5" s="14" t="n">
        <v>11.5</v>
      </c>
      <c r="F5" s="14" t="n">
        <v>5.875</v>
      </c>
      <c r="G5" s="32">
        <f>(E5-F5)*100</f>
        <v/>
      </c>
      <c r="H5" s="31">
        <f>'Yield Data'!H5</f>
        <v/>
      </c>
      <c r="I5" s="30">
        <f>'Yield Data'!H5-'Yield Data'!H4</f>
        <v/>
      </c>
      <c r="J5" s="30">
        <f>'Yield Data'!K7</f>
        <v/>
      </c>
      <c r="K5" s="30">
        <f>'Yield Data'!K9</f>
        <v/>
      </c>
      <c r="L5" s="30">
        <f>'Yield Data'!K11</f>
        <v/>
      </c>
      <c r="M5" s="33">
        <f>MAX('Yield Data'!K5:K12)</f>
        <v/>
      </c>
      <c r="N5" s="32">
        <f>INDEX('Yield Data'!B5:B12,MATCH(M5,'Yield Data'!K5:K12,0))</f>
        <v/>
      </c>
      <c r="O5" s="33">
        <f>MIN('Yield Data'!K5:K12)</f>
        <v/>
      </c>
      <c r="P5" s="33">
        <f>MAX('Yield Data'!J5:J12)</f>
        <v/>
      </c>
      <c r="Q5" s="33">
        <f>MAX('Yield Data'!L5:L12)</f>
        <v/>
      </c>
    </row>
    <row r="6">
      <c r="A6" s="4" t="inlineStr">
        <is>
          <t>1989-92 S&amp;L / recession</t>
        </is>
      </c>
      <c r="B6" s="10" t="inlineStr">
        <is>
          <t>1989-06</t>
        </is>
      </c>
      <c r="C6" s="10" t="inlineStr">
        <is>
          <t>deep (recession Jul90-Mar91)</t>
        </is>
      </c>
      <c r="D6" s="10" t="inlineStr">
        <is>
          <t>ok (±10-15bp)</t>
        </is>
      </c>
      <c r="E6" s="14" t="n">
        <v>9.8125</v>
      </c>
      <c r="F6" s="14" t="n">
        <v>3</v>
      </c>
      <c r="G6" s="32">
        <f>(E6-F6)*100</f>
        <v/>
      </c>
      <c r="H6" s="31">
        <f>'Yield Data'!H14</f>
        <v/>
      </c>
      <c r="I6" s="30">
        <f>'Yield Data'!H14-'Yield Data'!H13</f>
        <v/>
      </c>
      <c r="J6" s="30">
        <f>'Yield Data'!K16</f>
        <v/>
      </c>
      <c r="K6" s="30">
        <f>'Yield Data'!K18</f>
        <v/>
      </c>
      <c r="L6" s="30">
        <f>'Yield Data'!K20</f>
        <v/>
      </c>
      <c r="M6" s="33">
        <f>MAX('Yield Data'!K14:K23)</f>
        <v/>
      </c>
      <c r="N6" s="32">
        <f>INDEX('Yield Data'!B14:B23,MATCH(M6,'Yield Data'!K14:K23,0))</f>
        <v/>
      </c>
      <c r="O6" s="33">
        <f>MIN('Yield Data'!K14:K23)</f>
        <v/>
      </c>
      <c r="P6" s="33">
        <f>MAX('Yield Data'!J14:J23)</f>
        <v/>
      </c>
      <c r="Q6" s="33">
        <f>MAX('Yield Data'!L14:L23)</f>
        <v/>
      </c>
    </row>
    <row r="7">
      <c r="A7" s="4" t="inlineStr">
        <is>
          <t>1995 mid-cycle</t>
        </is>
      </c>
      <c r="B7" s="10" t="inlineStr">
        <is>
          <t>1995-07</t>
        </is>
      </c>
      <c r="C7" s="10" t="inlineStr">
        <is>
          <t>shallow (3 cuts, no recession)</t>
        </is>
      </c>
      <c r="D7" s="10" t="inlineStr">
        <is>
          <t>ok (±10-15bp)</t>
        </is>
      </c>
      <c r="E7" s="14" t="n">
        <v>6</v>
      </c>
      <c r="F7" s="14" t="n">
        <v>5.25</v>
      </c>
      <c r="G7" s="32">
        <f>(E7-F7)*100</f>
        <v/>
      </c>
      <c r="H7" s="31">
        <f>'Yield Data'!H25</f>
        <v/>
      </c>
      <c r="I7" s="30">
        <f>'Yield Data'!H25-'Yield Data'!H24</f>
        <v/>
      </c>
      <c r="J7" s="30">
        <f>'Yield Data'!K27</f>
        <v/>
      </c>
      <c r="K7" s="30">
        <f>'Yield Data'!K29</f>
        <v/>
      </c>
      <c r="L7" s="30">
        <f>'Yield Data'!K31</f>
        <v/>
      </c>
      <c r="M7" s="33">
        <f>MAX('Yield Data'!K25:K31)</f>
        <v/>
      </c>
      <c r="N7" s="32">
        <f>INDEX('Yield Data'!B25:B31,MATCH(M7,'Yield Data'!K25:K31,0))</f>
        <v/>
      </c>
      <c r="O7" s="33">
        <f>MIN('Yield Data'!K25:K31)</f>
        <v/>
      </c>
      <c r="P7" s="33">
        <f>MAX('Yield Data'!J25:J31)</f>
        <v/>
      </c>
      <c r="Q7" s="33">
        <f>MAX('Yield Data'!L25:L31)</f>
        <v/>
      </c>
    </row>
    <row r="8">
      <c r="A8" s="4" t="inlineStr">
        <is>
          <t>1998 LTCM insurance</t>
        </is>
      </c>
      <c r="B8" s="10" t="inlineStr">
        <is>
          <t>1998-09</t>
        </is>
      </c>
      <c r="C8" s="10" t="inlineStr">
        <is>
          <t>shallow (3 cuts, then RE-HIKED Jun-1999)</t>
        </is>
      </c>
      <c r="D8" s="10" t="inlineStr">
        <is>
          <t>ok (±10-15bp)</t>
        </is>
      </c>
      <c r="E8" s="14" t="n">
        <v>5.5</v>
      </c>
      <c r="F8" s="14" t="n">
        <v>4.75</v>
      </c>
      <c r="G8" s="32">
        <f>(E8-F8)*100</f>
        <v/>
      </c>
      <c r="H8" s="31">
        <f>'Yield Data'!H33</f>
        <v/>
      </c>
      <c r="I8" s="30">
        <f>'Yield Data'!H33-'Yield Data'!H32</f>
        <v/>
      </c>
      <c r="J8" s="30">
        <f>'Yield Data'!K35</f>
        <v/>
      </c>
      <c r="K8" s="30">
        <f>'Yield Data'!K36</f>
        <v/>
      </c>
      <c r="L8" s="2" t="inlineStr">
        <is>
          <t>n/a</t>
        </is>
      </c>
      <c r="M8" s="33">
        <f>MAX('Yield Data'!K33:K36)</f>
        <v/>
      </c>
      <c r="N8" s="32">
        <f>INDEX('Yield Data'!B33:B36,MATCH(M8,'Yield Data'!K33:K36,0))</f>
        <v/>
      </c>
      <c r="O8" s="33">
        <f>MIN('Yield Data'!K33:K36)</f>
        <v/>
      </c>
      <c r="P8" s="33">
        <f>MAX('Yield Data'!J33:J36)</f>
        <v/>
      </c>
      <c r="Q8" s="33">
        <f>MAX('Yield Data'!L33:L36)</f>
        <v/>
      </c>
    </row>
    <row r="9">
      <c r="A9" s="4" t="inlineStr">
        <is>
          <t>2001-03 dot-com</t>
        </is>
      </c>
      <c r="B9" s="10" t="inlineStr">
        <is>
          <t>2001-01</t>
        </is>
      </c>
      <c r="C9" s="10" t="inlineStr">
        <is>
          <t>deep (recession Mar-Nov 2001)</t>
        </is>
      </c>
      <c r="D9" s="10" t="inlineStr">
        <is>
          <t>ok; 30y gap~ after Feb-2002 (long-bond proxy)</t>
        </is>
      </c>
      <c r="E9" s="14" t="n">
        <v>6.5</v>
      </c>
      <c r="F9" s="14" t="n">
        <v>1</v>
      </c>
      <c r="G9" s="32">
        <f>(E9-F9)*100</f>
        <v/>
      </c>
      <c r="H9" s="31">
        <f>'Yield Data'!H38</f>
        <v/>
      </c>
      <c r="I9" s="30">
        <f>'Yield Data'!H38-'Yield Data'!H37</f>
        <v/>
      </c>
      <c r="J9" s="30">
        <f>'Yield Data'!K40</f>
        <v/>
      </c>
      <c r="K9" s="30">
        <f>'Yield Data'!K42</f>
        <v/>
      </c>
      <c r="L9" s="30">
        <f>'Yield Data'!K44</f>
        <v/>
      </c>
      <c r="M9" s="33">
        <f>MAX('Yield Data'!K38:K45)</f>
        <v/>
      </c>
      <c r="N9" s="32">
        <f>INDEX('Yield Data'!B38:B45,MATCH(M9,'Yield Data'!K38:K45,0))</f>
        <v/>
      </c>
      <c r="O9" s="33">
        <f>MIN('Yield Data'!K38:K45)</f>
        <v/>
      </c>
      <c r="P9" s="33">
        <f>MAX('Yield Data'!J38:J45)</f>
        <v/>
      </c>
      <c r="Q9" s="33">
        <f>MAX('Yield Data'!L38:L45)</f>
        <v/>
      </c>
    </row>
    <row r="10">
      <c r="A10" s="4" t="inlineStr">
        <is>
          <t>2007-08 GFC</t>
        </is>
      </c>
      <c r="B10" s="10" t="inlineStr">
        <is>
          <t>2007-09</t>
        </is>
      </c>
      <c r="C10" s="10" t="inlineStr">
        <is>
          <t>deep (recession Dec07-Jun09; ZIRP + QE follow-on)</t>
        </is>
      </c>
      <c r="D10" s="10" t="inlineStr">
        <is>
          <t>ok (±10-15bp)</t>
        </is>
      </c>
      <c r="E10" s="14" t="n">
        <v>5.25</v>
      </c>
      <c r="F10" s="14" t="n">
        <v>0.125</v>
      </c>
      <c r="G10" s="32">
        <f>(E10-F10)*100</f>
        <v/>
      </c>
      <c r="H10" s="31">
        <f>'Yield Data'!H47</f>
        <v/>
      </c>
      <c r="I10" s="30">
        <f>'Yield Data'!H47-'Yield Data'!H46</f>
        <v/>
      </c>
      <c r="J10" s="30">
        <f>'Yield Data'!K49</f>
        <v/>
      </c>
      <c r="K10" s="30">
        <f>'Yield Data'!K51</f>
        <v/>
      </c>
      <c r="L10" s="30">
        <f>'Yield Data'!K54</f>
        <v/>
      </c>
      <c r="M10" s="33">
        <f>MAX('Yield Data'!K47:K56)</f>
        <v/>
      </c>
      <c r="N10" s="32">
        <f>INDEX('Yield Data'!B47:B56,MATCH(M10,'Yield Data'!K47:K56,0))</f>
        <v/>
      </c>
      <c r="O10" s="33">
        <f>MIN('Yield Data'!K47:K56)</f>
        <v/>
      </c>
      <c r="P10" s="33">
        <f>MAX('Yield Data'!J47:J56)</f>
        <v/>
      </c>
      <c r="Q10" s="33">
        <f>MAX('Yield Data'!L47:L56)</f>
        <v/>
      </c>
    </row>
    <row r="11">
      <c r="A11" s="4" t="inlineStr">
        <is>
          <t>2019-20 mid-cycle + COVID</t>
        </is>
      </c>
      <c r="B11" s="10" t="inlineStr">
        <is>
          <t>2019-07</t>
        </is>
      </c>
      <c r="C11" s="10" t="inlineStr">
        <is>
          <t>shallow-&gt;deep (COVID forced it deep in Mar-2020)</t>
        </is>
      </c>
      <c r="D11" s="10" t="inlineStr">
        <is>
          <t>ok (±5-10bp)</t>
        </is>
      </c>
      <c r="E11" s="14" t="n">
        <v>2.375</v>
      </c>
      <c r="F11" s="14" t="n">
        <v>0.125</v>
      </c>
      <c r="G11" s="32">
        <f>(E11-F11)*100</f>
        <v/>
      </c>
      <c r="H11" s="31">
        <f>'Yield Data'!H58</f>
        <v/>
      </c>
      <c r="I11" s="30">
        <f>'Yield Data'!H58-'Yield Data'!H57</f>
        <v/>
      </c>
      <c r="J11" s="30">
        <f>'Yield Data'!K60</f>
        <v/>
      </c>
      <c r="K11" s="30">
        <f>'Yield Data'!K62</f>
        <v/>
      </c>
      <c r="L11" s="30">
        <f>'Yield Data'!K65</f>
        <v/>
      </c>
      <c r="M11" s="33">
        <f>MAX('Yield Data'!K58:K65)</f>
        <v/>
      </c>
      <c r="N11" s="32">
        <f>INDEX('Yield Data'!B58:B65,MATCH(M11,'Yield Data'!K58:K65,0))</f>
        <v/>
      </c>
      <c r="O11" s="33">
        <f>MIN('Yield Data'!K58:K65)</f>
        <v/>
      </c>
      <c r="P11" s="33">
        <f>MAX('Yield Data'!J58:J65)</f>
        <v/>
      </c>
      <c r="Q11" s="33">
        <f>MAX('Yield Data'!L58:L65)</f>
        <v/>
      </c>
    </row>
    <row r="12">
      <c r="A12" s="4" t="inlineStr">
        <is>
          <t>2024-25 (current cycle)</t>
        </is>
      </c>
      <c r="B12" s="10" t="inlineStr">
        <is>
          <t>2024-09</t>
        </is>
      </c>
      <c r="C12" s="10" t="inlineStr">
        <is>
          <t>gradual (cuts 2024-25, PAUSED 2026 with hike pricing)</t>
        </is>
      </c>
      <c r="D12" s="10" t="inlineStr">
        <is>
          <t>ok (±5-10bp); +23m = Aug-27-2026 official H.15</t>
        </is>
      </c>
      <c r="E12" s="14" t="n">
        <v>5.375</v>
      </c>
      <c r="F12" s="14" t="n">
        <v>3.625</v>
      </c>
      <c r="G12" s="32">
        <f>(E12-F12)*100</f>
        <v/>
      </c>
      <c r="H12" s="31">
        <f>'Yield Data'!H67</f>
        <v/>
      </c>
      <c r="I12" s="30">
        <f>'Yield Data'!H67-'Yield Data'!H66</f>
        <v/>
      </c>
      <c r="J12" s="30">
        <f>'Yield Data'!K69</f>
        <v/>
      </c>
      <c r="K12" s="30">
        <f>'Yield Data'!K71</f>
        <v/>
      </c>
      <c r="L12" s="2" t="inlineStr">
        <is>
          <t>n/a</t>
        </is>
      </c>
      <c r="M12" s="33">
        <f>MAX('Yield Data'!K67:K73)</f>
        <v/>
      </c>
      <c r="N12" s="32">
        <f>INDEX('Yield Data'!B67:B73,MATCH(M12,'Yield Data'!K67:K73,0))</f>
        <v/>
      </c>
      <c r="O12" s="33">
        <f>MIN('Yield Data'!K67:K73)</f>
        <v/>
      </c>
      <c r="P12" s="33">
        <f>MAX('Yield Data'!J67:J73)</f>
        <v/>
      </c>
      <c r="Q12" s="33">
        <f>MAX('Yield Data'!L67:L73)</f>
        <v/>
      </c>
    </row>
    <row r="14">
      <c r="A14" s="3" t="inlineStr">
        <is>
          <t>SUMMARY</t>
        </is>
      </c>
    </row>
    <row r="15">
      <c r="A15" s="4" t="inlineStr">
        <is>
          <t>Median D +12m (all cycles)</t>
        </is>
      </c>
      <c r="B15" s="33">
        <f>MEDIAN(K5:K12)</f>
        <v/>
      </c>
    </row>
    <row r="16">
      <c r="A16" s="4" t="inlineStr">
        <is>
          <t>Hit rate: D +12m &gt; 0</t>
        </is>
      </c>
      <c r="B16" s="4">
        <f>COUNTIF(K5:K12,"&gt;0")&amp;" of "&amp;COUNT(K5:K12)</f>
        <v/>
      </c>
    </row>
    <row r="17">
      <c r="A17" s="4" t="inlineStr">
        <is>
          <t>Hit rate: D +12m &gt;= +30bp</t>
        </is>
      </c>
      <c r="B17" s="4">
        <f>COUNTIF(K5:K12,"&gt;=30")&amp;" of "&amp;COUNT(K5:K12)</f>
        <v/>
      </c>
    </row>
    <row r="18">
      <c r="A18" s="4" t="inlineStr">
        <is>
          <t>Worst D +12m (1998 re-hike)</t>
        </is>
      </c>
      <c r="B18" s="33">
        <f>MIN(K5:K12)</f>
        <v/>
      </c>
    </row>
    <row r="19">
      <c r="A19" s="4" t="inlineStr">
        <is>
          <t>Median peak D, deep cycles</t>
        </is>
      </c>
      <c r="B19" s="33">
        <f>MEDIAN(M5,M6,M9,M10,M11)</f>
        <v/>
      </c>
    </row>
    <row r="20">
      <c r="A20" s="4" t="inlineStr">
        <is>
          <t>Median months to peak (all)</t>
        </is>
      </c>
      <c r="B20" s="32">
        <f>MEDIAN(N5:N12)</f>
        <v/>
      </c>
    </row>
    <row r="21">
      <c r="A21" s="4" t="inlineStr">
        <is>
          <t>Median T-6m to T0 gain (pre-positioning)</t>
        </is>
      </c>
      <c r="B21" s="33">
        <f>MEDIAN(I5:I12)</f>
        <v/>
      </c>
    </row>
    <row r="22">
      <c r="A22" s="4" t="inlineStr">
        <is>
          <t>2s30s peak beta vs 5s30s (deep median)</t>
        </is>
      </c>
      <c r="B22" s="21">
        <f>MEDIAN(P5/M5,P6/M6,P9/M9,P10/M10,P11/M11)</f>
        <v/>
      </c>
    </row>
    <row r="23">
      <c r="A23" s="4" t="inlineStr">
        <is>
          <t>10s30s peak beta vs 5s30s (deep median)</t>
        </is>
      </c>
      <c r="B23" s="21">
        <f>MEDIAN(Q5/M5,Q6/M6,Q9/M9,Q10/M10,Q11/M11)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1" customWidth="1" min="5" max="5"/>
    <col width="17" customWidth="1" min="6" max="6"/>
    <col width="12" customWidth="1" min="7" max="7"/>
    <col width="16" customWidth="1" min="8" max="8"/>
    <col width="18" customWidth="1" min="9" max="9"/>
  </cols>
  <sheetData>
    <row r="1">
      <c r="A1" s="12" t="inlineStr">
        <is>
          <t>2s30s vs 5s30s vs 10s30s — actual curve, Aug 27-28 2026</t>
        </is>
      </c>
    </row>
    <row r="2">
      <c r="A2" s="11" t="inlineStr">
        <is>
          <t>Curve: official H.15 Aug-27-2026 where available; * = interpolated estimate (blue = editable input). Carry+roll here uses the duration approximation; carry_roll_tenor_comparison.py reprices aged par bonds exactly (differences &lt;2bp/yr). At the 2y, static carry is mostly the priced hike premium — realized only if the Fed does not hike: there, carry IS the trade, not a bonus.</t>
        </is>
      </c>
    </row>
    <row r="3"/>
    <row r="5">
      <c r="A5" s="3" t="inlineStr">
        <is>
          <t>Inputs</t>
        </is>
      </c>
    </row>
    <row r="6">
      <c r="A6" s="13" t="inlineStr">
        <is>
          <t>Tenor</t>
        </is>
      </c>
      <c r="B6" s="13" t="inlineStr">
        <is>
          <t>Yield %</t>
        </is>
      </c>
    </row>
    <row r="7">
      <c r="A7" s="4" t="inlineStr">
        <is>
          <t>1y *</t>
        </is>
      </c>
      <c r="B7" s="14" t="n">
        <v>4.08</v>
      </c>
    </row>
    <row r="8">
      <c r="A8" s="4" t="inlineStr">
        <is>
          <t>2y</t>
        </is>
      </c>
      <c r="B8" s="14" t="n">
        <v>4.24</v>
      </c>
    </row>
    <row r="9">
      <c r="A9" s="4" t="inlineStr">
        <is>
          <t>3y *</t>
        </is>
      </c>
      <c r="B9" s="14" t="n">
        <v>4.29</v>
      </c>
    </row>
    <row r="10">
      <c r="A10" s="4" t="inlineStr">
        <is>
          <t>5y</t>
        </is>
      </c>
      <c r="B10" s="14" t="n">
        <v>4.38</v>
      </c>
    </row>
    <row r="11">
      <c r="A11" s="4" t="inlineStr">
        <is>
          <t>7y *</t>
        </is>
      </c>
      <c r="B11" s="14" t="n">
        <v>4.51</v>
      </c>
    </row>
    <row r="12">
      <c r="A12" s="4" t="inlineStr">
        <is>
          <t>10y</t>
        </is>
      </c>
      <c r="B12" s="14" t="n">
        <v>4.67</v>
      </c>
    </row>
    <row r="13">
      <c r="A13" s="4" t="inlineStr">
        <is>
          <t>20y</t>
        </is>
      </c>
      <c r="B13" s="14" t="n">
        <v>5.18</v>
      </c>
    </row>
    <row r="14">
      <c r="A14" s="4" t="inlineStr">
        <is>
          <t>30y</t>
        </is>
      </c>
      <c r="B14" s="14" t="n">
        <v>5.19</v>
      </c>
    </row>
    <row r="15">
      <c r="A15" s="4" t="inlineStr">
        <is>
          <t>Repo / funding %</t>
        </is>
      </c>
      <c r="B15" s="22" t="n">
        <v>3.65</v>
      </c>
    </row>
    <row r="16">
      <c r="A16" s="4" t="inlineStr">
        <is>
          <t>DV01 per leg ($/bp)</t>
        </is>
      </c>
      <c r="B16" s="23" t="n">
        <v>20000</v>
      </c>
    </row>
    <row r="17">
      <c r="A17" s="4" t="inlineStr">
        <is>
          <t>Mod. duration, par bond: 2y / 5y / 10y / 30y</t>
        </is>
      </c>
      <c r="C17" s="14" t="n">
        <v>1.9</v>
      </c>
      <c r="D17" s="14" t="n">
        <v>4.45</v>
      </c>
      <c r="E17" s="14" t="n">
        <v>8.09</v>
      </c>
      <c r="F17" s="14" t="n">
        <v>15.17</v>
      </c>
      <c r="G17" s="2" t="inlineStr">
        <is>
          <t>semiannual par-bond pricing at input yields (see .py)</t>
        </is>
      </c>
    </row>
    <row r="18">
      <c r="A18" s="4" t="inlineStr">
        <is>
          <t>Aged mod. duration: 1y / 4y / 9y / 29y</t>
        </is>
      </c>
      <c r="C18" s="14" t="n">
        <v>0.97</v>
      </c>
      <c r="D18" s="14" t="n">
        <v>3.63</v>
      </c>
      <c r="E18" s="14" t="n">
        <v>7.36</v>
      </c>
      <c r="F18" s="14" t="n">
        <v>14.9</v>
      </c>
    </row>
    <row r="19">
      <c r="A19" s="4" t="inlineStr">
        <is>
          <t>Aged yield (interp): 1y / 4y / 9y / 29y</t>
        </is>
      </c>
      <c r="C19" s="24">
        <f>B7</f>
        <v/>
      </c>
      <c r="D19" s="24">
        <f>(B9+B10)/2</f>
        <v/>
      </c>
      <c r="E19" s="24">
        <f>B11+(B12-B11)*2/3</f>
        <v/>
      </c>
      <c r="F19" s="24">
        <f>B13+(B14-B13)*0.9</f>
        <v/>
      </c>
    </row>
    <row r="21">
      <c r="A21" s="13" t="inlineStr">
        <is>
          <t>Pair</t>
        </is>
      </c>
      <c r="B21" s="13" t="inlineStr">
        <is>
          <t>Front yield %</t>
        </is>
      </c>
      <c r="C21" s="13" t="inlineStr">
        <is>
          <t>Front face $mm</t>
        </is>
      </c>
      <c r="D21" s="13" t="inlineStr">
        <is>
          <t>30y face $mm</t>
        </is>
      </c>
      <c r="E21" s="13" t="inlineStr">
        <is>
          <t>Gross $mm</t>
        </is>
      </c>
      <c r="F21" s="13" t="inlineStr">
        <is>
          <t>Running carry $k/yr</t>
        </is>
      </c>
      <c r="G21" s="13" t="inlineStr">
        <is>
          <t>Roll $k/yr</t>
        </is>
      </c>
      <c r="H21" s="13" t="inlineStr">
        <is>
          <t>Carry+roll bp/yr</t>
        </is>
      </c>
      <c r="I21" s="13" t="inlineStr">
        <is>
          <t>Deep-cycle peak beta</t>
        </is>
      </c>
    </row>
    <row r="22">
      <c r="A22" s="4" t="inlineStr">
        <is>
          <t>2s30s</t>
        </is>
      </c>
      <c r="B22" s="24">
        <f>B8</f>
        <v/>
      </c>
      <c r="C22" s="25">
        <f>$B$16/(C17*100)</f>
        <v/>
      </c>
      <c r="D22" s="25">
        <f>$B$16/($F$17*100)</f>
        <v/>
      </c>
      <c r="E22" s="25">
        <f>C22+D22</f>
        <v/>
      </c>
      <c r="F22" s="26">
        <f>((B8-$B$15)*C22-(B14-$B$15)*D22)*10</f>
        <v/>
      </c>
      <c r="G22" s="26">
        <f>((B8-C19)*C18*C22-(B14-F19)*F18*D22)*10</f>
        <v/>
      </c>
      <c r="H22" s="27">
        <f>(F22+G22)*1000/$B$16</f>
        <v/>
      </c>
      <c r="I22" s="28">
        <f>'Cycle Backtest'!B22</f>
        <v/>
      </c>
    </row>
    <row r="23">
      <c r="A23" s="4" t="inlineStr">
        <is>
          <t>5s30s</t>
        </is>
      </c>
      <c r="B23" s="24">
        <f>B10</f>
        <v/>
      </c>
      <c r="C23" s="25">
        <f>$B$16/(D17*100)</f>
        <v/>
      </c>
      <c r="D23" s="25">
        <f>$B$16/($F$17*100)</f>
        <v/>
      </c>
      <c r="E23" s="25">
        <f>C23+D23</f>
        <v/>
      </c>
      <c r="F23" s="26">
        <f>((B10-$B$15)*C23-(B14-$B$15)*D23)*10</f>
        <v/>
      </c>
      <c r="G23" s="26">
        <f>((B10-D19)*D18*C23-(B14-F19)*F18*D23)*10</f>
        <v/>
      </c>
      <c r="H23" s="27">
        <f>(F23+G23)*1000/$B$16</f>
        <v/>
      </c>
      <c r="I23" s="29" t="n">
        <v>1</v>
      </c>
    </row>
    <row r="24">
      <c r="A24" s="4" t="inlineStr">
        <is>
          <t>10s30s</t>
        </is>
      </c>
      <c r="B24" s="24">
        <f>B12</f>
        <v/>
      </c>
      <c r="C24" s="25">
        <f>$B$16/(E17*100)</f>
        <v/>
      </c>
      <c r="D24" s="25">
        <f>$B$16/($F$17*100)</f>
        <v/>
      </c>
      <c r="E24" s="25">
        <f>C24+D24</f>
        <v/>
      </c>
      <c r="F24" s="26">
        <f>((B12-$B$15)*C24-(B14-$B$15)*D24)*10</f>
        <v/>
      </c>
      <c r="G24" s="26">
        <f>((B12-E19)*E18*C24-(B14-F19)*F18*D24)*10</f>
        <v/>
      </c>
      <c r="H24" s="27">
        <f>(F24+G24)*1000/$B$16</f>
        <v/>
      </c>
      <c r="I24" s="28">
        <f>'Cycle Backtest'!B23</f>
        <v/>
      </c>
    </row>
    <row r="26">
      <c r="A26" s="11" t="inlineStr">
        <is>
          <t>Reading: 5s30s delivers ~62% of 2s30s's historical cyclical payoff on ~half the balance sheet, with carry that is positive without being purely the hike-premium bet; 10s30s keeps only ~1/3 of the payoff. Futures legs (FV vs Ultra Bond) should be sized dynamically off current CTD DV01s, not a memorized ratio.</t>
        </is>
      </c>
    </row>
    <row r="27"/>
    <row r="28"/>
  </sheetData>
  <mergeCells count="2">
    <mergeCell ref="A2:I3"/>
    <mergeCell ref="A26:I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2026-08-29T19:23:03Z</dcterms:created>
  <dcterms:modified xsi:type="dcterms:W3CDTF">2026-08-29T19:34:14Z</dcterms:modified>
</cp:coreProperties>
</file>