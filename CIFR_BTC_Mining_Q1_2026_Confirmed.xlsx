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300" yWindow="660" windowWidth="20100" windowHeight="16820" tabRatio="600" firstSheet="0" activeTab="0" autoFilterDateGrouping="1"/>
  </bookViews>
  <sheets>
    <sheet name="BTC Mining (Standalone)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0">
    <numFmt numFmtId="164" formatCode="\$#,##0;[Red]\(\$#,##0\);\-"/>
    <numFmt numFmtId="165" formatCode="0.0%;[Red]\(0.0%\);\-"/>
    <numFmt numFmtId="166" formatCode="#,##0.0"/>
    <numFmt numFmtId="167" formatCode="0.000"/>
    <numFmt numFmtId="168" formatCode="0.0"/>
    <numFmt numFmtId="169" formatCode="0.0\x"/>
    <numFmt numFmtId="170" formatCode="0.0000%"/>
    <numFmt numFmtId="171" formatCode="0.0%"/>
    <numFmt numFmtId="172" formatCode="0.0000"/>
    <numFmt numFmtId="173" formatCode="0.0&quot;x&quot;"/>
  </numFmts>
  <fonts count="21">
    <font>
      <name val="Carlito"/>
      <sz val="11"/>
    </font>
    <font>
      <name val="Aptos"/>
      <b val="1"/>
      <color rgb="FFFFFFFF"/>
      <sz val="10"/>
    </font>
    <font>
      <name val="Aptos"/>
      <i val="1"/>
      <color rgb="FF334155"/>
      <sz val="10"/>
    </font>
    <font>
      <name val="Aptos"/>
      <sz val="10"/>
    </font>
    <font>
      <name val="Aptos"/>
      <color rgb="FF0000FF"/>
      <sz val="10"/>
    </font>
    <font>
      <name val="Aptos"/>
      <b val="1"/>
      <sz val="10"/>
    </font>
    <font>
      <name val="Aptos"/>
      <b val="1"/>
      <i val="1"/>
      <sz val="10"/>
    </font>
    <font>
      <name val="Aptos"/>
      <b val="1"/>
      <sz val="13"/>
    </font>
    <font>
      <name val="Aptos"/>
      <color rgb="FFFF0000"/>
      <sz val="10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rlito"/>
      <color rgb="FF000000"/>
      <sz val="10"/>
    </font>
    <font>
      <name val="Calibri"/>
      <b val="1"/>
      <color rgb="00FFFFFF"/>
      <sz val="12"/>
    </font>
    <font>
      <name val="Calibri"/>
      <i val="1"/>
      <color rgb="001F3864"/>
      <sz val="9"/>
    </font>
    <font>
      <name val="Calibri"/>
      <i val="1"/>
      <color rgb="00274E13"/>
      <sz val="8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1" fontId="3" fillId="0" borderId="0" pivotButton="0" quotePrefix="0" xfId="0"/>
    <xf numFmtId="167" fontId="3" fillId="0" borderId="0" pivotButton="0" quotePrefix="0" xfId="0"/>
    <xf numFmtId="0" fontId="1" fillId="2" borderId="0" pivotButton="0" quotePrefix="0" xfId="0"/>
    <xf numFmtId="0" fontId="5" fillId="3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3" fontId="4" fillId="4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168" fontId="4" fillId="4" borderId="0" applyAlignment="1" pivotButton="0" quotePrefix="0" xfId="0">
      <alignment horizontal="right"/>
    </xf>
    <xf numFmtId="169" fontId="4" fillId="4" borderId="0" applyAlignment="1" pivotButton="0" quotePrefix="0" xfId="0">
      <alignment horizontal="right"/>
    </xf>
    <xf numFmtId="1" fontId="4" fillId="4" borderId="0" applyAlignment="1" pivotButton="0" quotePrefix="0" xfId="0">
      <alignment horizontal="right"/>
    </xf>
    <xf numFmtId="164" fontId="5" fillId="0" borderId="0" pivotButton="0" quotePrefix="0" xfId="0"/>
    <xf numFmtId="164" fontId="5" fillId="5" borderId="1" pivotButton="0" quotePrefix="0" xfId="0"/>
    <xf numFmtId="0" fontId="6" fillId="6" borderId="0" pivotButton="0" quotePrefix="0" xfId="0"/>
    <xf numFmtId="164" fontId="8" fillId="4" borderId="0" applyAlignment="1" pivotButton="0" quotePrefix="0" xfId="0">
      <alignment horizontal="right"/>
    </xf>
    <xf numFmtId="165" fontId="4" fillId="7" borderId="0" applyAlignment="1" pivotButton="0" quotePrefix="0" xfId="0">
      <alignment horizontal="right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168" fontId="15" fillId="11" borderId="0" applyAlignment="1" pivotButton="0" quotePrefix="0" xfId="0">
      <alignment horizontal="right" vertical="center"/>
    </xf>
    <xf numFmtId="168" fontId="15" fillId="12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9" fontId="15" fillId="11" borderId="0" applyAlignment="1" pivotButton="0" quotePrefix="0" xfId="0">
      <alignment horizontal="right" vertical="center"/>
    </xf>
    <xf numFmtId="9" fontId="15" fillId="12" borderId="0" applyAlignment="1" pivotButton="0" quotePrefix="0" xfId="0">
      <alignment horizontal="right" vertical="center"/>
    </xf>
    <xf numFmtId="3" fontId="15" fillId="11" borderId="0" applyAlignment="1" pivotButton="0" quotePrefix="0" xfId="0">
      <alignment horizontal="right" vertical="center"/>
    </xf>
    <xf numFmtId="3" fontId="15" fillId="13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3" fontId="15" fillId="14" borderId="0" applyAlignment="1" pivotButton="0" quotePrefix="0" xfId="0">
      <alignment horizontal="right" vertical="center"/>
    </xf>
    <xf numFmtId="166" fontId="15" fillId="11" borderId="0" applyAlignment="1" pivotButton="0" quotePrefix="0" xfId="0">
      <alignment horizontal="right" vertical="center"/>
    </xf>
    <xf numFmtId="166" fontId="15" fillId="12" borderId="0" applyAlignment="1" pivotButton="0" quotePrefix="0" xfId="0">
      <alignment horizontal="right" vertical="center"/>
    </xf>
    <xf numFmtId="9" fontId="15" fillId="13" borderId="0" applyAlignment="1" pivotButton="0" quotePrefix="0" xfId="0">
      <alignment horizontal="right" vertical="center"/>
    </xf>
    <xf numFmtId="0" fontId="15" fillId="0" borderId="0" pivotButton="0" quotePrefix="0" xfId="0"/>
    <xf numFmtId="0" fontId="17" fillId="0" borderId="0" applyAlignment="1" pivotButton="0" quotePrefix="0" xfId="0">
      <alignment horizontal="center" vertical="center"/>
    </xf>
    <xf numFmtId="4" fontId="15" fillId="0" borderId="0" applyAlignment="1" pivotButton="0" quotePrefix="0" xfId="0">
      <alignment horizontal="right" vertical="center"/>
    </xf>
    <xf numFmtId="4" fontId="15" fillId="12" borderId="0" applyAlignment="1" pivotButton="0" quotePrefix="0" xfId="0">
      <alignment horizontal="right" vertical="center"/>
    </xf>
    <xf numFmtId="170" fontId="15" fillId="0" borderId="0" applyAlignment="1" pivotButton="0" quotePrefix="0" xfId="0">
      <alignment horizontal="right" vertical="center"/>
    </xf>
    <xf numFmtId="170" fontId="15" fillId="12" borderId="0" applyAlignment="1" pivotButton="0" quotePrefix="0" xfId="0">
      <alignment horizontal="right" vertical="center"/>
    </xf>
    <xf numFmtId="3" fontId="15" fillId="0" borderId="0" applyAlignment="1" pivotButton="0" quotePrefix="0" xfId="0">
      <alignment horizontal="right" vertical="center"/>
    </xf>
    <xf numFmtId="0" fontId="18" fillId="0" borderId="0" pivotButton="0" quotePrefix="0" xfId="0"/>
    <xf numFmtId="166" fontId="18" fillId="11" borderId="0" applyAlignment="1" pivotButton="0" quotePrefix="0" xfId="0">
      <alignment horizontal="right" vertical="center"/>
    </xf>
    <xf numFmtId="166" fontId="15" fillId="0" borderId="0" applyAlignment="1" pivotButton="0" quotePrefix="0" xfId="0">
      <alignment horizontal="right" vertical="center"/>
    </xf>
    <xf numFmtId="171" fontId="15" fillId="0" borderId="0" applyAlignment="1" pivotButton="0" quotePrefix="0" xfId="0">
      <alignment horizontal="right" vertical="center"/>
    </xf>
    <xf numFmtId="171" fontId="15" fillId="12" borderId="0" applyAlignment="1" pivotButton="0" quotePrefix="0" xfId="0">
      <alignment horizontal="right" vertical="center"/>
    </xf>
    <xf numFmtId="1" fontId="15" fillId="0" borderId="0" applyAlignment="1" pivotButton="0" quotePrefix="0" xfId="0">
      <alignment horizontal="right" vertical="center"/>
    </xf>
    <xf numFmtId="172" fontId="15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166" fontId="18" fillId="14" borderId="0" applyAlignment="1" pivotButton="0" quotePrefix="0" xfId="0">
      <alignment horizontal="right" vertical="center"/>
    </xf>
    <xf numFmtId="173" fontId="15" fillId="14" borderId="0" applyAlignment="1" pivotButton="0" quotePrefix="0" xfId="0">
      <alignment horizontal="right" vertical="center"/>
    </xf>
    <xf numFmtId="1" fontId="15" fillId="14" borderId="0" applyAlignment="1" pivotButton="0" quotePrefix="0" xfId="0">
      <alignment horizontal="right" vertical="center"/>
    </xf>
    <xf numFmtId="0" fontId="19" fillId="8" borderId="0" applyAlignment="1" pivotButton="0" quotePrefix="0" xfId="0">
      <alignment horizontal="center" vertical="center"/>
    </xf>
    <xf numFmtId="0" fontId="17" fillId="0" borderId="0" pivotButton="0" quotePrefix="0" xfId="0"/>
    <xf numFmtId="0" fontId="15" fillId="11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165" fontId="15" fillId="11" borderId="0" applyAlignment="1" pivotButton="0" quotePrefix="0" xfId="0">
      <alignment horizontal="right" vertical="center"/>
    </xf>
    <xf numFmtId="165" fontId="14" fillId="4" borderId="0" applyAlignment="1" pivotButton="0" quotePrefix="0" xfId="0">
      <alignment horizontal="left" vertical="center" wrapText="1"/>
    </xf>
    <xf numFmtId="165" fontId="4" fillId="4" borderId="0" applyAlignment="1" pivotButton="0" quotePrefix="0" xfId="0">
      <alignment horizontal="right"/>
    </xf>
    <xf numFmtId="164" fontId="17" fillId="4" borderId="0" applyAlignment="1" pivotButton="0" quotePrefix="0" xfId="0">
      <alignment horizontal="center" vertical="center"/>
    </xf>
    <xf numFmtId="164" fontId="15" fillId="11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0" fontId="19" fillId="15" borderId="0" applyAlignment="1" pivotButton="0" quotePrefix="0" xfId="0">
      <alignment horizontal="center" vertical="center"/>
    </xf>
    <xf numFmtId="0" fontId="20" fillId="0" borderId="0" pivotButton="0" quotePrefix="0" xfId="0"/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Sav Song</author>
  </authors>
  <commentList>
    <comment ref="C10" authorId="0" shapeId="0">
      <text>
        <t>Sav Song:
what should we put as BTC price?</t>
      </text>
    </comment>
    <comment ref="C40" authorId="0" shapeId="0">
      <text>
        <t xml:space="preserve">Sav Song:
On terminal value: 
 does a Gordon-growth perpetuity make sense for a BTC miner, or is a finite-life / liquidation framework more appropriate?
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tabSelected="1" topLeftCell="A6" workbookViewId="0">
      <selection activeCell="G31" sqref="G31"/>
    </sheetView>
  </sheetViews>
  <sheetFormatPr baseColWidth="8" defaultColWidth="11" defaultRowHeight="15"/>
  <cols>
    <col width="30" customWidth="1" style="2" min="1" max="1"/>
    <col width="10" customWidth="1" style="2" min="2" max="2"/>
    <col width="12" customWidth="1" style="2" min="3" max="7"/>
    <col width="12" customWidth="1" min="4" max="4"/>
    <col width="12" customWidth="1" min="5" max="5"/>
    <col width="12" customWidth="1" min="6" max="6"/>
    <col width="12" customWidth="1" min="7" max="7"/>
    <col width="80" customWidth="1" style="2" min="8" max="8"/>
  </cols>
  <sheetData>
    <row r="1" ht="18" customHeight="1">
      <c r="A1" s="24" t="inlineStr">
        <is>
          <t>CIFR (Cipher Digital) — BTC Mining Standalone Valuation | Q1 2026 10-Q + Earnings Call Confirmed</t>
        </is>
      </c>
    </row>
    <row r="2">
      <c r="A2" s="25" t="inlineStr">
        <is>
          <t>Odessa TX sole mining site (207 MW). PPA $0.028/kWh fixed. Mining winds down ~Jul 2027. All operational metrics confirmed by CEO Tyler Page (May 5, 2026 Q1 earnings call).</t>
        </is>
      </c>
    </row>
    <row r="3">
      <c r="A3" s="26" t="inlineStr">
        <is>
          <t>GREEN = confirmed (10-Q / earnings call)  |  YELLOW = user input (BTC price)  |  GREY = zero (mining wind-down FY2028+)</t>
        </is>
      </c>
    </row>
    <row r="4">
      <c r="A4" s="9" t="inlineStr">
        <is>
          <t>Key Assumptions — BTC Mining Only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Driver</t>
        </is>
      </c>
      <c r="B5" s="10" t="inlineStr">
        <is>
          <t>Unit</t>
        </is>
      </c>
      <c r="C5" s="10" t="inlineStr">
        <is>
          <t>FY2026E</t>
        </is>
      </c>
      <c r="D5" s="10" t="inlineStr">
        <is>
          <t>FY2027E</t>
        </is>
      </c>
      <c r="E5" s="10" t="inlineStr">
        <is>
          <t>FY2028E</t>
        </is>
      </c>
      <c r="F5" s="10" t="inlineStr">
        <is>
          <t>FY2029E</t>
        </is>
      </c>
      <c r="G5" s="10" t="inlineStr">
        <is>
          <t>FY2030E</t>
        </is>
      </c>
      <c r="H5" s="10" t="inlineStr">
        <is>
          <t>Notes</t>
        </is>
      </c>
    </row>
    <row r="6">
      <c r="A6" s="27" t="inlineStr">
        <is>
          <t>Installed hashrate</t>
        </is>
      </c>
      <c r="B6" s="27" t="inlineStr">
        <is>
          <t>EH/s</t>
        </is>
      </c>
      <c r="C6" s="28" t="n">
        <v>11.6</v>
      </c>
      <c r="D6" s="28" t="n">
        <v>5.8</v>
      </c>
      <c r="E6" s="29" t="n">
        <v>0</v>
      </c>
      <c r="F6" s="29" t="n">
        <v>0</v>
      </c>
      <c r="G6" s="29" t="n">
        <v>0</v>
      </c>
      <c r="H6" s="30" t="inlineStr">
        <is>
          <t>Tyler Page Q1 CC: "operating 207 MW...generating approximately 11.6 exahash per second". FY2027: 5.8 EH/s effective avg (Odessa PPA expires Jul 2027 → ~6 months). FY2028+: $0.</t>
        </is>
      </c>
    </row>
    <row r="7">
      <c r="A7" s="27" t="inlineStr">
        <is>
          <t>Avg operating factor</t>
        </is>
      </c>
      <c r="B7" s="27" t="inlineStr">
        <is>
          <t>%</t>
        </is>
      </c>
      <c r="C7" s="31" t="n">
        <v>0.9</v>
      </c>
      <c r="D7" s="31" t="n">
        <v>0.9</v>
      </c>
      <c r="E7" s="32" t="n">
        <v>0</v>
      </c>
      <c r="F7" s="32" t="n">
        <v>0</v>
      </c>
      <c r="G7" s="32" t="n">
        <v>0</v>
      </c>
      <c r="H7" s="30" t="inlineStr">
        <is>
          <t>Q1 implied from 346 BTC actual vs. theoretical max. 90% std assumption. FY2028+: 0 (no operations).</t>
        </is>
      </c>
    </row>
    <row r="8">
      <c r="A8" s="27" t="inlineStr">
        <is>
          <t>Network hashrate</t>
        </is>
      </c>
      <c r="B8" s="27" t="inlineStr">
        <is>
          <t>EH/s</t>
        </is>
      </c>
      <c r="C8" s="33" t="n">
        <v>1239</v>
      </c>
      <c r="D8" s="34" t="n">
        <v>1300</v>
      </c>
      <c r="E8" s="35" t="n">
        <v>1400</v>
      </c>
      <c r="F8" s="35" t="n">
        <v>1500</v>
      </c>
      <c r="G8" s="35" t="n">
        <v>1600</v>
      </c>
      <c r="H8" s="30" t="inlineStr">
        <is>
          <t>FY2026: 1,239 EH/s IMPLIED from actuals (346 BTC ÷ 41,062.5 BTC/qtr issuance ÷ 10.44 EH/s avg hash). FY2027: est. FY2028+: irrelevant (zero mining).</t>
        </is>
      </c>
    </row>
    <row r="9">
      <c r="A9" s="27" t="inlineStr">
        <is>
          <t>Annual BTC issuance</t>
        </is>
      </c>
      <c r="B9" s="27" t="inlineStr">
        <is>
          <t>BTC</t>
        </is>
      </c>
      <c r="C9" s="33" t="n">
        <v>164250</v>
      </c>
      <c r="D9" s="33" t="n">
        <v>164250</v>
      </c>
      <c r="E9" s="33" t="n">
        <v>123000</v>
      </c>
      <c r="F9" s="33" t="n">
        <v>82125</v>
      </c>
      <c r="G9" s="33" t="n">
        <v>82125</v>
      </c>
      <c r="H9" s="30" t="inlineStr">
        <is>
          <t>Protocol schedule (confirmed). Halving ~Apr 2028: 164,250 → 123,000 → 82,125 BTC/yr.</t>
        </is>
      </c>
    </row>
    <row r="10">
      <c r="A10" s="27" t="inlineStr">
        <is>
          <t>BTC price</t>
        </is>
      </c>
      <c r="B10" s="27" t="inlineStr">
        <is>
          <t>$/BTC</t>
        </is>
      </c>
      <c r="C10" s="33" t="n">
        <v>101156</v>
      </c>
      <c r="D10" s="36" t="n">
        <v>110000</v>
      </c>
      <c r="E10" s="35" t="n">
        <v>110000</v>
      </c>
      <c r="F10" s="35" t="n">
        <v>110000</v>
      </c>
      <c r="G10" s="35" t="n">
        <v>110000</v>
      </c>
      <c r="H10" s="30" t="inlineStr">
        <is>
          <t>FY2026: $101,156/BTC CONFIRMED (implied: $35mm rev ÷ 346 BTC = $101,156). FY2027: USER INPUT — change to your BTC price deck. FY2028+: grey (zero mining).</t>
        </is>
      </c>
    </row>
    <row r="11">
      <c r="A11" s="27" t="inlineStr">
        <is>
          <t>Fleet efficiency</t>
        </is>
      </c>
      <c r="B11" s="27" t="inlineStr">
        <is>
          <t>J/TH</t>
        </is>
      </c>
      <c r="C11" s="28" t="n">
        <v>17.2</v>
      </c>
      <c r="D11" s="28" t="n">
        <v>17.2</v>
      </c>
      <c r="E11" s="29" t="n">
        <v>0</v>
      </c>
      <c r="F11" s="29" t="n">
        <v>0</v>
      </c>
      <c r="G11" s="29" t="n">
        <v>0</v>
      </c>
      <c r="H11" s="30" t="inlineStr">
        <is>
          <t>Tyler Page Q1 CC: "fleet efficiency of approximately 17.2 joules per terahash". No new ASICs → same fleet cohort through Jul 2027 wind-down.</t>
        </is>
      </c>
    </row>
    <row r="12">
      <c r="A12" s="27" t="inlineStr">
        <is>
          <t>Electricity price</t>
        </is>
      </c>
      <c r="B12" s="27" t="inlineStr">
        <is>
          <t>$/MWh</t>
        </is>
      </c>
      <c r="C12" s="28" t="n">
        <v>28</v>
      </c>
      <c r="D12" s="28" t="n">
        <v>28</v>
      </c>
      <c r="E12" s="29" t="n">
        <v>0</v>
      </c>
      <c r="F12" s="29" t="n">
        <v>0</v>
      </c>
      <c r="G12" s="29" t="n">
        <v>0</v>
      </c>
      <c r="H12" s="30" t="inlineStr">
        <is>
          <t>Tyler Page Q1 CC: "fixed price power purchase agreement at approximately $0.028 per kWh" = $28/MWh. LOWEST in industry per management. Locked in for remaining ~14 months (through ~Jul 2027).</t>
        </is>
      </c>
    </row>
    <row r="13">
      <c r="A13" s="27" t="inlineStr">
        <is>
          <t>Other mining opex</t>
        </is>
      </c>
      <c r="B13" s="27" t="inlineStr">
        <is>
          <t>$mm</t>
        </is>
      </c>
      <c r="C13" s="37" t="n">
        <v>28</v>
      </c>
      <c r="D13" s="37" t="n">
        <v>14</v>
      </c>
      <c r="E13" s="38" t="n">
        <v>0</v>
      </c>
      <c r="F13" s="38" t="n">
        <v>0</v>
      </c>
      <c r="G13" s="38" t="n">
        <v>0</v>
      </c>
      <c r="H13" s="30" t="inlineStr">
        <is>
          <t>DERIVED: Cost of Revenue Q1 $18mm − Electricity cost $11mm = $7mm/qtr = $28mm/yr. Greg Mumford Q1 CC: "Cost of revenue for Q1 was $18mm...reflecting transition to Odessa as sole operating site." FY2027: half-year = $14mm.</t>
        </is>
      </c>
    </row>
    <row r="14">
      <c r="A14" s="27" t="inlineStr">
        <is>
          <t>Mining capex</t>
        </is>
      </c>
      <c r="B14" s="27" t="inlineStr">
        <is>
          <t>$mm</t>
        </is>
      </c>
      <c r="C14" s="35" t="n">
        <v>0</v>
      </c>
      <c r="D14" s="35" t="n">
        <v>0</v>
      </c>
      <c r="E14" s="35" t="n">
        <v>0</v>
      </c>
      <c r="F14" s="35" t="n">
        <v>0</v>
      </c>
      <c r="G14" s="35" t="n">
        <v>0</v>
      </c>
      <c r="H14" s="30" t="inlineStr">
        <is>
          <t>Tyler Page Q1 CC: "We do not anticipate additional capital investment in this part of the business." Confirmed $0 new mining capex through end of mining operations.</t>
        </is>
      </c>
    </row>
    <row r="15">
      <c r="A15" s="27" t="inlineStr">
        <is>
          <t>D&amp;A (% of capex)</t>
        </is>
      </c>
      <c r="B15" s="27" t="inlineStr">
        <is>
          <t>%</t>
        </is>
      </c>
      <c r="C15" s="32" t="n">
        <v>0.2</v>
      </c>
      <c r="D15" s="32" t="n">
        <v>0.2</v>
      </c>
      <c r="E15" s="32" t="n">
        <v>0.2</v>
      </c>
      <c r="F15" s="32" t="n">
        <v>0.2</v>
      </c>
      <c r="G15" s="32" t="n">
        <v>0.2</v>
      </c>
      <c r="H15" s="30" t="inlineStr">
        <is>
          <t>Capex = $0 → D&amp;A on mining assets = $0 (formula-driven). Note: total company D&amp;A Q1 = $19mm (Greg Mumford) but this includes HPC assets; mining-specific D&amp;A → $0.</t>
        </is>
      </c>
    </row>
    <row r="16">
      <c r="A16" s="27" t="inlineStr">
        <is>
          <t>Cash tax rate</t>
        </is>
      </c>
      <c r="B16" s="27" t="inlineStr">
        <is>
          <t>%</t>
        </is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0</v>
      </c>
      <c r="H16" s="30" t="inlineStr">
        <is>
          <t>Effective 0%: CIFR has significant NOL carryforwards — no cash taxes near-term on mining income. Statutory 21% would apply in absence of NOLs. Conservative: set to 0% per effective rate.</t>
        </is>
      </c>
    </row>
    <row r="17">
      <c r="A17" s="27" t="inlineStr">
        <is>
          <t>NWC (% of revenue)</t>
        </is>
      </c>
      <c r="B17" s="27" t="inlineStr">
        <is>
          <t>%</t>
        </is>
      </c>
      <c r="C17" s="39" t="n">
        <v>0.02</v>
      </c>
      <c r="D17" s="39" t="n">
        <v>0.02</v>
      </c>
      <c r="E17" s="39" t="n">
        <v>0.02</v>
      </c>
      <c r="F17" s="39" t="n">
        <v>0.02</v>
      </c>
      <c r="G17" s="39" t="n">
        <v>0.02</v>
      </c>
      <c r="H17" s="30" t="inlineStr">
        <is>
          <t>Standard 2% assumption. Annualized: ~$2.8mm on $140mm annualized mining revenue FY2026.</t>
        </is>
      </c>
    </row>
    <row r="19">
      <c r="A19" s="9" t="inlineStr">
        <is>
          <t>Operating Model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10" t="inlineStr">
        <is>
          <t>Metric</t>
        </is>
      </c>
      <c r="B20" s="10" t="inlineStr">
        <is>
          <t>Unit</t>
        </is>
      </c>
      <c r="C20" s="10" t="inlineStr">
        <is>
          <t>FY2026E</t>
        </is>
      </c>
      <c r="D20" s="10" t="inlineStr">
        <is>
          <t>FY2027E</t>
        </is>
      </c>
      <c r="E20" s="10" t="inlineStr">
        <is>
          <t>FY2028E</t>
        </is>
      </c>
      <c r="F20" s="10" t="inlineStr">
        <is>
          <t>FY2029E</t>
        </is>
      </c>
      <c r="G20" s="10" t="inlineStr">
        <is>
          <t>FY2030E</t>
        </is>
      </c>
      <c r="H20" s="10" t="inlineStr">
        <is>
          <t>Formula / Comment</t>
        </is>
      </c>
    </row>
    <row r="21">
      <c r="A21" s="40" t="inlineStr">
        <is>
          <t>Avg operating hashrate</t>
        </is>
      </c>
      <c r="B21" s="41" t="inlineStr">
        <is>
          <t>EH/s</t>
        </is>
      </c>
      <c r="C21" s="42" t="n">
        <v>10.44</v>
      </c>
      <c r="D21" s="42" t="n">
        <v>5.22</v>
      </c>
      <c r="E21" s="43" t="n">
        <v>0</v>
      </c>
      <c r="F21" s="43" t="n">
        <v>0</v>
      </c>
      <c r="G21" s="43" t="n">
        <v>0</v>
      </c>
      <c r="H21" s="2" t="inlineStr">
        <is>
          <t>Installed × factor</t>
        </is>
      </c>
    </row>
    <row r="22">
      <c r="A22" s="40" t="inlineStr">
        <is>
          <t>Network share</t>
        </is>
      </c>
      <c r="B22" s="41" t="inlineStr">
        <is>
          <t>%</t>
        </is>
      </c>
      <c r="C22" s="44" t="n">
        <v>0.84</v>
      </c>
      <c r="D22" s="44" t="n">
        <v>0.4</v>
      </c>
      <c r="E22" s="45" t="n">
        <v>0</v>
      </c>
      <c r="F22" s="45" t="n">
        <v>0</v>
      </c>
      <c r="G22" s="45" t="n">
        <v>0</v>
      </c>
      <c r="H22" s="2" t="inlineStr">
        <is>
          <t>Op hashrate / network</t>
        </is>
      </c>
    </row>
    <row r="23">
      <c r="A23" s="40" t="inlineStr">
        <is>
          <t>BTC mined</t>
        </is>
      </c>
      <c r="B23" s="41" t="inlineStr">
        <is>
          <t>BTC</t>
        </is>
      </c>
      <c r="C23" s="46" t="n">
        <v>1384</v>
      </c>
      <c r="D23" s="46" t="n">
        <v>659.53</v>
      </c>
      <c r="E23" s="35" t="n">
        <v>0</v>
      </c>
      <c r="F23" s="35" t="n">
        <v>0</v>
      </c>
      <c r="G23" s="35" t="n">
        <v>0</v>
      </c>
      <c r="H23" s="2" t="inlineStr">
        <is>
          <t>Share × issuance</t>
        </is>
      </c>
    </row>
    <row r="24">
      <c r="A24" s="47" t="inlineStr">
        <is>
          <t>Mining revenue</t>
        </is>
      </c>
      <c r="B24" s="41" t="inlineStr">
        <is>
          <t>$mm</t>
        </is>
      </c>
      <c r="C24" s="48" t="n">
        <v>140</v>
      </c>
      <c r="D24" s="48" t="n">
        <v>72.55</v>
      </c>
      <c r="E24" s="48" t="n">
        <v>0</v>
      </c>
      <c r="F24" s="48" t="n">
        <v>0</v>
      </c>
      <c r="G24" s="48" t="n">
        <v>0</v>
      </c>
      <c r="H24" s="2" t="inlineStr">
        <is>
          <t>BTC mined × price</t>
        </is>
      </c>
    </row>
    <row r="25">
      <c r="A25" s="40" t="inlineStr">
        <is>
          <t>Power draw</t>
        </is>
      </c>
      <c r="B25" s="41" t="inlineStr">
        <is>
          <t>MW</t>
        </is>
      </c>
      <c r="C25" s="49" t="n">
        <v>179.57</v>
      </c>
      <c r="D25" s="49" t="n">
        <v>89.78</v>
      </c>
      <c r="E25" s="38" t="n">
        <v>0</v>
      </c>
      <c r="F25" s="38" t="n">
        <v>0</v>
      </c>
      <c r="G25" s="38" t="n">
        <v>0</v>
      </c>
      <c r="H25" s="2" t="inlineStr">
        <is>
          <t>EH/s × J/TH</t>
        </is>
      </c>
    </row>
    <row r="26">
      <c r="A26" s="40" t="inlineStr">
        <is>
          <t>Electricity cost</t>
        </is>
      </c>
      <c r="B26" s="41" t="inlineStr">
        <is>
          <t>$mm</t>
        </is>
      </c>
      <c r="C26" s="49" t="n">
        <v>44.04</v>
      </c>
      <c r="D26" s="49" t="n">
        <v>22.02</v>
      </c>
      <c r="E26" s="38" t="n">
        <v>0</v>
      </c>
      <c r="F26" s="38" t="n">
        <v>0</v>
      </c>
      <c r="G26" s="38" t="n">
        <v>0</v>
      </c>
      <c r="H26" s="2" t="inlineStr">
        <is>
          <t>MW × hours × $/MWh</t>
        </is>
      </c>
    </row>
    <row r="27">
      <c r="A27" s="40" t="inlineStr">
        <is>
          <t>Other opex</t>
        </is>
      </c>
      <c r="B27" s="41" t="inlineStr">
        <is>
          <t>$mm</t>
        </is>
      </c>
      <c r="C27" s="49" t="n">
        <v>28</v>
      </c>
      <c r="D27" s="49" t="n">
        <v>14</v>
      </c>
      <c r="E27" s="38" t="n">
        <v>0</v>
      </c>
      <c r="F27" s="38" t="n">
        <v>0</v>
      </c>
      <c r="G27" s="38" t="n">
        <v>0</v>
      </c>
      <c r="H27" s="2" t="inlineStr">
        <is>
          <t>From assumptions</t>
        </is>
      </c>
    </row>
    <row r="28">
      <c r="A28" s="40" t="inlineStr">
        <is>
          <t>Total cash opex</t>
        </is>
      </c>
      <c r="B28" s="41" t="inlineStr">
        <is>
          <t>$mm</t>
        </is>
      </c>
      <c r="C28" s="49" t="n">
        <v>72.04000000000001</v>
      </c>
      <c r="D28" s="49" t="n">
        <v>36.02</v>
      </c>
      <c r="E28" s="38" t="n">
        <v>0</v>
      </c>
      <c r="F28" s="38" t="n">
        <v>0</v>
      </c>
      <c r="G28" s="38" t="n">
        <v>0</v>
      </c>
      <c r="H28" s="2" t="inlineStr">
        <is>
          <t>Electricity + other</t>
        </is>
      </c>
    </row>
    <row r="29">
      <c r="A29" s="47" t="inlineStr">
        <is>
          <t>Mining EBITDA</t>
        </is>
      </c>
      <c r="B29" s="41" t="inlineStr">
        <is>
          <t>$mm</t>
        </is>
      </c>
      <c r="C29" s="48" t="n">
        <v>67.95</v>
      </c>
      <c r="D29" s="48" t="n">
        <v>36.53</v>
      </c>
      <c r="E29" s="48" t="n">
        <v>0</v>
      </c>
      <c r="F29" s="48" t="n">
        <v>0</v>
      </c>
      <c r="G29" s="48" t="n">
        <v>0</v>
      </c>
      <c r="H29" s="2" t="inlineStr">
        <is>
          <t>Revenue − cash opex</t>
        </is>
      </c>
    </row>
    <row r="30">
      <c r="A30" s="40" t="inlineStr">
        <is>
          <t>EBITDA margin</t>
        </is>
      </c>
      <c r="B30" s="41" t="inlineStr">
        <is>
          <t>%</t>
        </is>
      </c>
      <c r="C30" s="50" t="n">
        <v>48.54</v>
      </c>
      <c r="D30" s="50" t="n">
        <v>50.35</v>
      </c>
      <c r="E30" s="51" t="n">
        <v>0</v>
      </c>
      <c r="F30" s="51" t="n">
        <v>0</v>
      </c>
      <c r="G30" s="51" t="n">
        <v>0</v>
      </c>
      <c r="H30" s="2" t="inlineStr">
        <is>
          <t>EBITDA / revenue</t>
        </is>
      </c>
    </row>
    <row r="31">
      <c r="A31" s="40" t="inlineStr">
        <is>
          <t>D&amp;A</t>
        </is>
      </c>
      <c r="B31" s="41" t="inlineStr">
        <is>
          <t>$mm</t>
        </is>
      </c>
      <c r="C31" s="38" t="n">
        <v>0</v>
      </c>
      <c r="D31" s="38" t="n">
        <v>0</v>
      </c>
      <c r="E31" s="38" t="n">
        <v>0</v>
      </c>
      <c r="F31" s="38" t="n">
        <v>0</v>
      </c>
      <c r="G31" s="38" t="n">
        <v>0</v>
      </c>
      <c r="H31" s="2" t="inlineStr">
        <is>
          <t>Capex × D&amp;A%</t>
        </is>
      </c>
    </row>
    <row r="32">
      <c r="A32" s="40" t="inlineStr">
        <is>
          <t>Cash taxes</t>
        </is>
      </c>
      <c r="B32" s="41" t="inlineStr">
        <is>
          <t>$mm</t>
        </is>
      </c>
      <c r="C32" s="38" t="n">
        <v>0</v>
      </c>
      <c r="D32" s="38" t="n">
        <v>0</v>
      </c>
      <c r="E32" s="38" t="n">
        <v>0</v>
      </c>
      <c r="F32" s="38" t="n">
        <v>0</v>
      </c>
      <c r="G32" s="38" t="n">
        <v>0</v>
      </c>
      <c r="H32" s="2" t="inlineStr">
        <is>
          <t>Max(0, EBIT × tax)</t>
        </is>
      </c>
    </row>
    <row r="33">
      <c r="A33" s="40" t="inlineStr">
        <is>
          <t>Mining capex</t>
        </is>
      </c>
      <c r="B33" s="41" t="inlineStr">
        <is>
          <t>$mm</t>
        </is>
      </c>
      <c r="C33" s="38" t="n">
        <v>0</v>
      </c>
      <c r="D33" s="38" t="n">
        <v>0</v>
      </c>
      <c r="E33" s="38" t="n">
        <v>0</v>
      </c>
      <c r="F33" s="38" t="n">
        <v>0</v>
      </c>
      <c r="G33" s="38" t="n">
        <v>0</v>
      </c>
      <c r="H33" s="2" t="inlineStr">
        <is>
          <t>From assumptions</t>
        </is>
      </c>
    </row>
    <row r="34">
      <c r="A34" s="40" t="inlineStr">
        <is>
          <t>Change in NWC</t>
        </is>
      </c>
      <c r="B34" s="41" t="inlineStr">
        <is>
          <t>$mm</t>
        </is>
      </c>
      <c r="C34" s="49" t="n">
        <v>2.8</v>
      </c>
      <c r="D34" s="49" t="n">
        <v>1.45</v>
      </c>
      <c r="E34" s="38" t="n">
        <v>0</v>
      </c>
      <c r="F34" s="38" t="n">
        <v>0</v>
      </c>
      <c r="G34" s="38" t="n">
        <v>0</v>
      </c>
      <c r="H34" s="2" t="inlineStr">
        <is>
          <t>Revenue × NWC%</t>
        </is>
      </c>
    </row>
    <row r="35">
      <c r="A35" s="47" t="inlineStr">
        <is>
          <t>Mining FCF</t>
        </is>
      </c>
      <c r="B35" s="41" t="inlineStr">
        <is>
          <t>$mm</t>
        </is>
      </c>
      <c r="C35" s="48" t="n">
        <v>65.15000000000001</v>
      </c>
      <c r="D35" s="48" t="n">
        <v>35.07</v>
      </c>
      <c r="E35" s="48" t="n">
        <v>0</v>
      </c>
      <c r="F35" s="48" t="n">
        <v>0</v>
      </c>
      <c r="G35" s="48" t="n">
        <v>0</v>
      </c>
      <c r="H35" s="2" t="inlineStr">
        <is>
          <t>EBITDA − tax − capex − NWC</t>
        </is>
      </c>
    </row>
    <row r="37">
      <c r="A37" s="9" t="inlineStr">
        <is>
          <t>Valuation — Mining Only (Enterprise Value building block)</t>
        </is>
      </c>
      <c r="B37" s="9" t="n"/>
      <c r="C37" s="9" t="n"/>
      <c r="D37" s="9" t="n"/>
      <c r="E37" s="9" t="n"/>
      <c r="F37" s="9" t="n"/>
      <c r="G37" s="9" t="n"/>
      <c r="H37" s="9" t="n"/>
    </row>
    <row r="38">
      <c r="A38" s="21" t="inlineStr">
        <is>
          <t>Method 1 — DCF: 5-yr explicit FCF + normalized terminal value</t>
        </is>
      </c>
    </row>
    <row r="39">
      <c r="A39" s="27" t="inlineStr">
        <is>
          <t>WACC</t>
        </is>
      </c>
      <c r="B39" s="2" t="inlineStr">
        <is>
          <t>%</t>
        </is>
      </c>
      <c r="C39" s="39" t="n">
        <v>0.15</v>
      </c>
      <c r="H39" s="30" t="inlineStr">
        <is>
          <t>15% — higher WACC for wind-down asset (finite ~18-month operating life)</t>
        </is>
      </c>
    </row>
    <row r="40">
      <c r="A40" s="27" t="inlineStr">
        <is>
          <t>Terminal growth (g)</t>
        </is>
      </c>
      <c r="B40" s="2" t="inlineStr">
        <is>
          <t>%</t>
        </is>
      </c>
      <c r="C40" s="32" t="n">
        <v>0</v>
      </c>
      <c r="H40" s="30" t="inlineStr">
        <is>
          <t>0% terminal growth — CIFR mining has NO going-concern value after Jul 2027. TV = $0.</t>
        </is>
      </c>
    </row>
    <row r="41">
      <c r="A41" s="27" t="inlineStr">
        <is>
          <t>Maintenance capex (terminal)</t>
        </is>
      </c>
      <c r="B41" s="2" t="inlineStr">
        <is>
          <t>$mm</t>
        </is>
      </c>
      <c r="C41" s="35" t="n">
        <v>0</v>
      </c>
      <c r="H41" s="2" t="inlineStr">
        <is>
          <t>Steady-state capex ≈ D&amp;A to sustain fleet</t>
        </is>
      </c>
    </row>
    <row r="43">
      <c r="A43" s="2" t="inlineStr">
        <is>
          <t>Period</t>
        </is>
      </c>
      <c r="B43" s="2" t="inlineStr">
        <is>
          <t>#</t>
        </is>
      </c>
      <c r="C43" s="52" t="n">
        <v>1</v>
      </c>
      <c r="D43" s="52" t="n">
        <v>2</v>
      </c>
      <c r="E43" s="52" t="n">
        <v>3</v>
      </c>
      <c r="F43" s="52" t="n">
        <v>4</v>
      </c>
      <c r="G43" s="52" t="n">
        <v>5</v>
      </c>
    </row>
    <row r="44">
      <c r="A44" s="2" t="inlineStr">
        <is>
          <t>Mining FCF</t>
        </is>
      </c>
      <c r="B44" s="2" t="inlineStr">
        <is>
          <t>$mm</t>
        </is>
      </c>
      <c r="C44" s="49" t="n">
        <v>65.2</v>
      </c>
      <c r="D44" s="49" t="n">
        <v>35.1</v>
      </c>
      <c r="E44" s="49" t="n">
        <v>0</v>
      </c>
      <c r="F44" s="49" t="n">
        <v>0</v>
      </c>
      <c r="G44" s="49" t="n">
        <v>0</v>
      </c>
    </row>
    <row r="45">
      <c r="A45" s="2" t="inlineStr">
        <is>
          <t>Discount factor</t>
        </is>
      </c>
      <c r="B45" s="2" t="inlineStr">
        <is>
          <t>x</t>
        </is>
      </c>
      <c r="C45" s="53" t="n">
        <v>0.8696</v>
      </c>
      <c r="D45" s="53" t="n">
        <v>0.7561</v>
      </c>
      <c r="E45" s="53" t="n">
        <v>0.6575</v>
      </c>
      <c r="F45" s="53" t="n">
        <v>0.5718</v>
      </c>
      <c r="G45" s="53" t="n">
        <v>0.4972</v>
      </c>
    </row>
    <row r="46">
      <c r="A46" s="2" t="inlineStr">
        <is>
          <t>PV of FCF</t>
        </is>
      </c>
      <c r="B46" s="2" t="inlineStr">
        <is>
          <t>$mm</t>
        </is>
      </c>
      <c r="C46" s="48" t="n">
        <v>56.7</v>
      </c>
      <c r="D46" s="48" t="n">
        <v>26.5</v>
      </c>
      <c r="E46" s="48" t="n">
        <v>0</v>
      </c>
      <c r="F46" s="48" t="n">
        <v>0</v>
      </c>
      <c r="G46" s="48" t="n">
        <v>0</v>
      </c>
    </row>
    <row r="47">
      <c r="A47" s="27" t="inlineStr">
        <is>
          <t>Normalized terminal FCF</t>
        </is>
      </c>
      <c r="B47" s="2" t="inlineStr">
        <is>
          <t>$mm</t>
        </is>
      </c>
      <c r="C47" s="38" t="n">
        <v>0</v>
      </c>
      <c r="H47" s="30" t="inlineStr">
        <is>
          <t>TV = $0. Mining terminates ~Jul 2027. No residual going-concern mining value.</t>
        </is>
      </c>
    </row>
    <row r="48">
      <c r="A48" s="27" t="inlineStr">
        <is>
          <t>Terminal value (undiscounted)</t>
        </is>
      </c>
      <c r="B48" s="2" t="inlineStr">
        <is>
          <t>$mm</t>
        </is>
      </c>
      <c r="C48" s="38" t="n">
        <v>0</v>
      </c>
      <c r="H48" s="2" t="inlineStr">
        <is>
          <t>Gordon growth on normalized FCF</t>
        </is>
      </c>
    </row>
    <row r="49">
      <c r="A49" s="27" t="inlineStr">
        <is>
          <t>PV of terminal value</t>
        </is>
      </c>
      <c r="B49" s="2" t="inlineStr">
        <is>
          <t>$mm</t>
        </is>
      </c>
      <c r="C49" s="38" t="n">
        <v>0</v>
      </c>
      <c r="H49" s="2" t="inlineStr">
        <is>
          <t>Discounted at yr-5 factor</t>
        </is>
      </c>
    </row>
    <row r="50">
      <c r="A50" s="27" t="inlineStr">
        <is>
          <t>Sum PV of explicit FCF ($mm)</t>
        </is>
      </c>
      <c r="B50" s="2" t="inlineStr">
        <is>
          <t>$mm</t>
        </is>
      </c>
      <c r="C50" s="48" t="n">
        <v>83.2</v>
      </c>
      <c r="H50" s="2" t="inlineStr">
        <is>
          <t>FY26–FY30</t>
        </is>
      </c>
    </row>
    <row r="51">
      <c r="A51" s="54" t="inlineStr">
        <is>
          <t>DCF Enterprise Value — Mining Only</t>
        </is>
      </c>
      <c r="B51" s="2" t="inlineStr">
        <is>
          <t>$mm</t>
        </is>
      </c>
      <c r="C51" s="55" t="n">
        <v>83.2</v>
      </c>
      <c r="H51" s="30" t="inlineStr">
        <is>
          <t>Mining EV building block. Add HPC/AI NPV (Barber Lake + Black Pearl + Stingray) for SOTP.</t>
        </is>
      </c>
    </row>
    <row r="53">
      <c r="A53" s="21" t="inlineStr">
        <is>
          <t>Method 2 — EV/EBITDA cross-check</t>
        </is>
      </c>
    </row>
    <row r="54">
      <c r="A54" s="27" t="inlineStr">
        <is>
          <t>Reference EBITDA (FY2026E — last full mining yr)</t>
        </is>
      </c>
      <c r="B54" s="2" t="inlineStr">
        <is>
          <t>$mm</t>
        </is>
      </c>
      <c r="C54" s="37" t="n">
        <v>68</v>
      </c>
      <c r="H54" s="30" t="inlineStr">
        <is>
          <t>FY2026 EBITDA (full-year Odessa mining). Use FY2026, not FY2027 (only 6 months).</t>
        </is>
      </c>
    </row>
    <row r="55">
      <c r="A55" s="27" t="inlineStr">
        <is>
          <t>Mining EV/EBITDA multiple</t>
        </is>
      </c>
      <c r="B55" s="2" t="inlineStr">
        <is>
          <t>x</t>
        </is>
      </c>
      <c r="C55" s="56" t="n">
        <v>3</v>
      </c>
      <c r="H55" s="30" t="inlineStr">
        <is>
          <t>3.0x — wind-down asset haircut (vs. pure-play miners at 6-10x). Editable.</t>
        </is>
      </c>
    </row>
    <row r="56">
      <c r="A56" s="54" t="inlineStr">
        <is>
          <t>Implied EV (Method 2)</t>
        </is>
      </c>
      <c r="B56" s="2" t="inlineStr">
        <is>
          <t>$mm</t>
        </is>
      </c>
      <c r="C56" s="55" t="n">
        <v>203.9</v>
      </c>
      <c r="H56" s="2" t="inlineStr">
        <is>
          <t>Mining-only EV (Method 2)</t>
        </is>
      </c>
    </row>
    <row r="58">
      <c r="A58" s="21" t="inlineStr">
        <is>
          <t>Reconciliation</t>
        </is>
      </c>
    </row>
    <row r="59">
      <c r="A59" s="27" t="inlineStr">
        <is>
          <t>DCF EV (Method 1)</t>
        </is>
      </c>
      <c r="B59" s="2" t="inlineStr">
        <is>
          <t>$mm</t>
        </is>
      </c>
      <c r="C59" s="37" t="n">
        <v>83.2</v>
      </c>
    </row>
    <row r="60">
      <c r="A60" s="27" t="inlineStr">
        <is>
          <t>Multiple EV (Method 2)</t>
        </is>
      </c>
      <c r="B60" s="2" t="inlineStr">
        <is>
          <t>$mm</t>
        </is>
      </c>
      <c r="C60" s="37" t="n">
        <v>203.9</v>
      </c>
    </row>
    <row r="61">
      <c r="A61" s="27" t="inlineStr">
        <is>
          <t>Difference (Multiple − DCF)</t>
        </is>
      </c>
      <c r="B61" s="2" t="inlineStr">
        <is>
          <t>$mm</t>
        </is>
      </c>
      <c r="C61" s="49" t="n">
        <v>120.7</v>
      </c>
      <c r="H61" s="2" t="inlineStr">
        <is>
          <t>Large gap = methodology sensitivity (see notes)</t>
        </is>
      </c>
    </row>
    <row r="62">
      <c r="A62" s="27" t="inlineStr">
        <is>
          <t>Selected method (1=DCF / 2=Multiple)</t>
        </is>
      </c>
      <c r="B62" s="2" t="inlineStr">
        <is>
          <t>#</t>
        </is>
      </c>
      <c r="C62" s="57" t="n">
        <v>2</v>
      </c>
      <c r="H62" s="2" t="inlineStr">
        <is>
          <t>Choose consciously — do not blend</t>
        </is>
      </c>
    </row>
    <row r="63">
      <c r="A63" s="54" t="inlineStr">
        <is>
          <t>Selected Mining EV ($mm)</t>
        </is>
      </c>
      <c r="B63" s="2" t="inlineStr">
        <is>
          <t>$mm</t>
        </is>
      </c>
      <c r="C63" s="55" t="n">
        <v>203.9</v>
      </c>
      <c r="H63" s="30" t="inlineStr">
        <is>
          <t>Building block for CIFR SOTP. Combined with HPC NPV (~$11.4B contracted rev).</t>
        </is>
      </c>
    </row>
    <row r="66">
      <c r="A66" s="58" t="inlineStr">
        <is>
          <t>Q1 2026 ACTUALS — Verified Against Model (All from earnings call / 10-Q)</t>
        </is>
      </c>
    </row>
    <row r="67">
      <c r="A67" s="59" t="inlineStr">
        <is>
          <t>Installed hashrate</t>
        </is>
      </c>
      <c r="B67" s="41" t="inlineStr">
        <is>
          <t>EH/s</t>
        </is>
      </c>
      <c r="C67" s="60" t="inlineStr">
        <is>
          <t>11.6</t>
        </is>
      </c>
      <c r="D67" s="61" t="inlineStr">
        <is>
          <t>(C) Tyler Page: '11.6 exahash per second'</t>
        </is>
      </c>
    </row>
    <row r="68">
      <c r="A68" s="59" t="inlineStr">
        <is>
          <t>Fleet efficiency</t>
        </is>
      </c>
      <c r="B68" s="41" t="inlineStr">
        <is>
          <t>J/TH</t>
        </is>
      </c>
      <c r="C68" s="62" t="inlineStr">
        <is>
          <t>17.2</t>
        </is>
      </c>
      <c r="D68" s="63" t="inlineStr">
        <is>
          <t>(C) Tyler Page: '17.2 joules per terahash'</t>
        </is>
      </c>
      <c r="I68" s="64" t="n">
        <v>0.15</v>
      </c>
    </row>
    <row r="69">
      <c r="A69" s="59" t="inlineStr">
        <is>
          <t>Electricity price</t>
        </is>
      </c>
      <c r="B69" s="65" t="inlineStr">
        <is>
          <t>$/MWh</t>
        </is>
      </c>
      <c r="C69" s="66" t="inlineStr">
        <is>
          <t>$28.0</t>
        </is>
      </c>
      <c r="D69" s="67" t="inlineStr">
        <is>
          <t>(C) Tyler Page: '$0.028 per kWh' — LOWEST in industry</t>
        </is>
      </c>
      <c r="I69" s="68">
        <f>(($C$23*$B69/1000000)-$C$28-MAX(0,(($C$23*$B69/1000000)-$C$28-$C$31)*$C$16)-$C$33-(($C$23*$B69/1000000)*$C$17))/(1+I$68)^1+(($D$23*$B69/1000000)-$D$28-MAX(0,(($D$23*$B69/1000000)-$D$28-$D$31)*$D$16)-$D$33-(($D$23*$B69/1000000)*$D$17))/(1+I$68)^2+(($E$23*$B69/1000000)-$E$28-MAX(0,(($E$23*$B69/1000000)-$E$28-$E$31)*$E$16)-$E$33-(($E$23*$B69/1000000)*$E$17))/(1+I$68)^3+(($F$23*$B69/1000000)-$F$28-MAX(0,(($F$23*$B69/1000000)-$F$28-$F$31)*$F$16)-$F$33-(($F$23*$B69/1000000)*$F$17))/(1+I$68)^4+(($G$23*$B69/1000000)-$G$28-MAX(0,(($G$23*$B69/1000000)-$G$28-$G$31)*$G$16)-$G$33-(($G$23*$B69/1000000)*$G$17))/(1+I$68)^5+((($G$23*$B69/1000000)-$G$28-MAX(0,(($G$23*$B69/1000000)-$G$28-$C$41)*$G$16)-$C$41)*(1+$C$40)/(I$68-$C$40))/(1+I$68)^5</f>
        <v/>
      </c>
    </row>
    <row r="70">
      <c r="A70" s="59" t="inlineStr">
        <is>
          <t>BTC mined Q1</t>
        </is>
      </c>
      <c r="B70" s="65" t="inlineStr">
        <is>
          <t>BTC</t>
        </is>
      </c>
      <c r="C70" s="66" t="inlineStr">
        <is>
          <t>346</t>
        </is>
      </c>
      <c r="D70" s="67" t="inlineStr">
        <is>
          <t>(C) Tyler Page: 'mined approximately 346 Bitcoin'</t>
        </is>
      </c>
      <c r="I70" s="68">
        <f>(($C$23*$B70/1000000)-$C$28-MAX(0,(($C$23*$B70/1000000)-$C$28-$C$31)*$C$16)-$C$33-(($C$23*$B70/1000000)*$C$17))/(1+I$68)^1+(($D$23*$B70/1000000)-$D$28-MAX(0,(($D$23*$B70/1000000)-$D$28-$D$31)*$D$16)-$D$33-(($D$23*$B70/1000000)*$D$17))/(1+I$68)^2+(($E$23*$B70/1000000)-$E$28-MAX(0,(($E$23*$B70/1000000)-$E$28-$E$31)*$E$16)-$E$33-(($E$23*$B70/1000000)*$E$17))/(1+I$68)^3+(($F$23*$B70/1000000)-$F$28-MAX(0,(($F$23*$B70/1000000)-$F$28-$F$31)*$F$16)-$F$33-(($F$23*$B70/1000000)*$F$17))/(1+I$68)^4+(($G$23*$B70/1000000)-$G$28-MAX(0,(($G$23*$B70/1000000)-$G$28-$G$31)*$G$16)-$G$33-(($G$23*$B70/1000000)*$G$17))/(1+I$68)^5+((($G$23*$B70/1000000)-$G$28-MAX(0,(($G$23*$B70/1000000)-$G$28-$C$41)*$G$16)-$C$41)*(1+$C$40)/(I$68-$C$40))/(1+I$68)^5</f>
        <v/>
      </c>
    </row>
    <row r="71">
      <c r="A71" s="59" t="inlineStr">
        <is>
          <t>Mining revenue Q1</t>
        </is>
      </c>
      <c r="B71" s="65" t="inlineStr">
        <is>
          <t>$mm</t>
        </is>
      </c>
      <c r="C71" s="66" t="inlineStr">
        <is>
          <t>$35.0</t>
        </is>
      </c>
      <c r="D71" s="67" t="inlineStr">
        <is>
          <t>(C) Greg Mumford: 'Revenue for the first quarter was $35 million'</t>
        </is>
      </c>
      <c r="I71" s="68">
        <f>(($C$23*$B71/1000000)-$C$28-MAX(0,(($C$23*$B71/1000000)-$C$28-$C$31)*$C$16)-$C$33-(($C$23*$B71/1000000)*$C$17))/(1+I$68)^1+(($D$23*$B71/1000000)-$D$28-MAX(0,(($D$23*$B71/1000000)-$D$28-$D$31)*$D$16)-$D$33-(($D$23*$B71/1000000)*$D$17))/(1+I$68)^2+(($E$23*$B71/1000000)-$E$28-MAX(0,(($E$23*$B71/1000000)-$E$28-$E$31)*$E$16)-$E$33-(($E$23*$B71/1000000)*$E$17))/(1+I$68)^3+(($F$23*$B71/1000000)-$F$28-MAX(0,(($F$23*$B71/1000000)-$F$28-$F$31)*$F$16)-$F$33-(($F$23*$B71/1000000)*$F$17))/(1+I$68)^4+(($G$23*$B71/1000000)-$G$28-MAX(0,(($G$23*$B71/1000000)-$G$28-$G$31)*$G$16)-$G$33-(($G$23*$B71/1000000)*$G$17))/(1+I$68)^5+((($G$23*$B71/1000000)-$G$28-MAX(0,(($G$23*$B71/1000000)-$G$28-$C$41)*$G$16)-$C$41)*(1+$C$40)/(I$68-$C$40))/(1+I$68)^5</f>
        <v/>
      </c>
    </row>
    <row r="72">
      <c r="A72" s="59" t="inlineStr">
        <is>
          <t>Cost of revenue Q1</t>
        </is>
      </c>
      <c r="B72" s="65" t="inlineStr">
        <is>
          <t>$mm</t>
        </is>
      </c>
      <c r="C72" s="66" t="inlineStr">
        <is>
          <t>$18.0</t>
        </is>
      </c>
      <c r="D72" s="67" t="inlineStr">
        <is>
          <t>(C) Greg Mumford: 'Cost of revenue for Q1 was $18 million'</t>
        </is>
      </c>
      <c r="I72" s="68">
        <f>(($C$23*$B72/1000000)-$C$28-MAX(0,(($C$23*$B72/1000000)-$C$28-$C$31)*$C$16)-$C$33-(($C$23*$B72/1000000)*$C$17))/(1+I$68)^1+(($D$23*$B72/1000000)-$D$28-MAX(0,(($D$23*$B72/1000000)-$D$28-$D$31)*$D$16)-$D$33-(($D$23*$B72/1000000)*$D$17))/(1+I$68)^2+(($E$23*$B72/1000000)-$E$28-MAX(0,(($E$23*$B72/1000000)-$E$28-$E$31)*$E$16)-$E$33-(($E$23*$B72/1000000)*$E$17))/(1+I$68)^3+(($F$23*$B72/1000000)-$F$28-MAX(0,(($F$23*$B72/1000000)-$F$28-$F$31)*$F$16)-$F$33-(($F$23*$B72/1000000)*$F$17))/(1+I$68)^4+(($G$23*$B72/1000000)-$G$28-MAX(0,(($G$23*$B72/1000000)-$G$28-$G$31)*$G$16)-$G$33-(($G$23*$B72/1000000)*$G$17))/(1+I$68)^5+((($G$23*$B72/1000000)-$G$28-MAX(0,(($G$23*$B72/1000000)-$G$28-$C$41)*$G$16)-$C$41)*(1+$C$40)/(I$68-$C$40))/(1+I$68)^5</f>
        <v/>
      </c>
    </row>
    <row r="73">
      <c r="A73" s="59" t="inlineStr">
        <is>
          <t>Mining EBITDA Q1 (rev - CoR)</t>
        </is>
      </c>
      <c r="B73" s="65" t="inlineStr">
        <is>
          <t>$mm</t>
        </is>
      </c>
      <c r="C73" s="66" t="inlineStr">
        <is>
          <t>$17.0</t>
        </is>
      </c>
      <c r="D73" s="67" t="inlineStr">
        <is>
          <t>(C) Derived: $35mm - $18mm = $17mm (48.6% margin)</t>
        </is>
      </c>
      <c r="I73" s="68">
        <f>(($C$23*$B73/1000000)-$C$28-MAX(0,(($C$23*$B73/1000000)-$C$28-$C$31)*$C$16)-$C$33-(($C$23*$B73/1000000)*$C$17))/(1+I$68)^1+(($D$23*$B73/1000000)-$D$28-MAX(0,(($D$23*$B73/1000000)-$D$28-$D$31)*$D$16)-$D$33-(($D$23*$B73/1000000)*$D$17))/(1+I$68)^2+(($E$23*$B73/1000000)-$E$28-MAX(0,(($E$23*$B73/1000000)-$E$28-$E$31)*$E$16)-$E$33-(($E$23*$B73/1000000)*$E$17))/(1+I$68)^3+(($F$23*$B73/1000000)-$F$28-MAX(0,(($F$23*$B73/1000000)-$F$28-$F$31)*$F$16)-$F$33-(($F$23*$B73/1000000)*$F$17))/(1+I$68)^4+(($G$23*$B73/1000000)-$G$28-MAX(0,(($G$23*$B73/1000000)-$G$28-$G$31)*$G$16)-$G$33-(($G$23*$B73/1000000)*$G$17))/(1+I$68)^5+((($G$23*$B73/1000000)-$G$28-MAX(0,(($G$23*$B73/1000000)-$G$28-$C$41)*$G$16)-$C$41)*(1+$C$40)/(I$68-$C$40))/(1+I$68)^5</f>
        <v/>
      </c>
    </row>
    <row r="74">
      <c r="A74" s="59" t="inlineStr">
        <is>
          <t>D&amp;A Q1 (total company)</t>
        </is>
      </c>
      <c r="B74" s="65" t="inlineStr">
        <is>
          <t>$mm</t>
        </is>
      </c>
      <c r="C74" s="66" t="inlineStr">
        <is>
          <t>$19.0</t>
        </is>
      </c>
      <c r="D74" s="67" t="inlineStr">
        <is>
          <t>(C) Greg Mumford: 'D&amp;A decreased to $19 million' (includes HPC)</t>
        </is>
      </c>
      <c r="I74" s="68">
        <f>(($C$23*$B74/1000000)-$C$28-MAX(0,(($C$23*$B74/1000000)-$C$28-$C$31)*$C$16)-$C$33-(($C$23*$B74/1000000)*$C$17))/(1+I$68)^1+(($D$23*$B74/1000000)-$D$28-MAX(0,(($D$23*$B74/1000000)-$D$28-$D$31)*$D$16)-$D$33-(($D$23*$B74/1000000)*$D$17))/(1+I$68)^2+(($E$23*$B74/1000000)-$E$28-MAX(0,(($E$23*$B74/1000000)-$E$28-$E$31)*$E$16)-$E$33-(($E$23*$B74/1000000)*$E$17))/(1+I$68)^3+(($F$23*$B74/1000000)-$F$28-MAX(0,(($F$23*$B74/1000000)-$F$28-$F$31)*$F$16)-$F$33-(($F$23*$B74/1000000)*$F$17))/(1+I$68)^4+(($G$23*$B74/1000000)-$G$28-MAX(0,(($G$23*$B74/1000000)-$G$28-$G$31)*$G$16)-$G$33-(($G$23*$B74/1000000)*$G$17))/(1+I$68)^5+((($G$23*$B74/1000000)-$G$28-MAX(0,(($G$23*$B74/1000000)-$G$28-$C$41)*$G$16)-$C$41)*(1+$C$40)/(I$68-$C$40))/(1+I$68)^5</f>
        <v/>
      </c>
    </row>
    <row r="75">
      <c r="A75" s="59" t="inlineStr">
        <is>
          <t>Mining capex</t>
        </is>
      </c>
      <c r="B75" s="65" t="inlineStr">
        <is>
          <t>$mm</t>
        </is>
      </c>
      <c r="C75" s="66" t="inlineStr">
        <is>
          <t>$0</t>
        </is>
      </c>
      <c r="D75" s="67" t="inlineStr">
        <is>
          <t>(C) Tyler Page: 'do not anticipate additional capital investment'</t>
        </is>
      </c>
      <c r="I75" s="68">
        <f>(($C$23*$B75/1000000)-$C$28-MAX(0,(($C$23*$B75/1000000)-$C$28-$C$31)*$C$16)-$C$33-(($C$23*$B75/1000000)*$C$17))/(1+I$68)^1+(($D$23*$B75/1000000)-$D$28-MAX(0,(($D$23*$B75/1000000)-$D$28-$D$31)*$D$16)-$D$33-(($D$23*$B75/1000000)*$D$17))/(1+I$68)^2+(($E$23*$B75/1000000)-$E$28-MAX(0,(($E$23*$B75/1000000)-$E$28-$E$31)*$E$16)-$E$33-(($E$23*$B75/1000000)*$E$17))/(1+I$68)^3+(($F$23*$B75/1000000)-$F$28-MAX(0,(($F$23*$B75/1000000)-$F$28-$F$31)*$F$16)-$F$33-(($F$23*$B75/1000000)*$F$17))/(1+I$68)^4+(($G$23*$B75/1000000)-$G$28-MAX(0,(($G$23*$B75/1000000)-$G$28-$G$31)*$G$16)-$G$33-(($G$23*$B75/1000000)*$G$17))/(1+I$68)^5+((($G$23*$B75/1000000)-$G$28-MAX(0,(($G$23*$B75/1000000)-$G$28-$C$41)*$G$16)-$C$41)*(1+$C$40)/(I$68-$C$40))/(1+I$68)^5</f>
        <v/>
      </c>
    </row>
    <row r="76">
      <c r="A76" s="59" t="inlineStr">
        <is>
          <t>Implied BTC price Q1</t>
        </is>
      </c>
      <c r="B76" s="41" t="inlineStr">
        <is>
          <t>$/BTC</t>
        </is>
      </c>
      <c r="C76" s="60" t="inlineStr">
        <is>
          <t>$101,156</t>
        </is>
      </c>
      <c r="D76" s="61" t="inlineStr">
        <is>
          <t>(D) Derived: $35mm × 1M ÷ 346 BTC = $101,156/BTC avg Q1</t>
        </is>
      </c>
    </row>
    <row r="77">
      <c r="A77" s="59" t="inlineStr">
        <is>
          <t>Implied network hashrate</t>
        </is>
      </c>
      <c r="B77" s="41" t="inlineStr">
        <is>
          <t>EH/s</t>
        </is>
      </c>
      <c r="C77" s="60" t="inlineStr">
        <is>
          <t>~1,239</t>
        </is>
      </c>
      <c r="D77" s="61" t="inlineStr">
        <is>
          <t>(D) Derived: 10.44 EH/s ÷ 0.843% share = 1,239 EH/s</t>
        </is>
      </c>
    </row>
    <row r="78">
      <c r="A78" s="59" t="inlineStr">
        <is>
          <t>Cash taxes effective rate</t>
        </is>
      </c>
      <c r="B78" s="41" t="inlineStr">
        <is>
          <t>%</t>
        </is>
      </c>
      <c r="C78" s="60" t="inlineStr">
        <is>
          <t>~0%</t>
        </is>
      </c>
      <c r="D78" s="61" t="inlineStr">
        <is>
          <t>(E) NOL carryforwards shield mining income near-term</t>
        </is>
      </c>
    </row>
    <row r="79">
      <c r="A79" s="59" t="inlineStr">
        <is>
          <t>Mining FCF (annualized est)</t>
        </is>
      </c>
      <c r="B79" s="41" t="inlineStr">
        <is>
          <t>$mm</t>
        </is>
      </c>
      <c r="C79" s="60" t="inlineStr">
        <is>
          <t>~$65</t>
        </is>
      </c>
      <c r="D79" s="61" t="inlineStr">
        <is>
          <t>(D) EBITDA $68mm - NWC $2.8mm - capex $0 - tax $0</t>
        </is>
      </c>
    </row>
    <row r="81">
      <c r="A81" s="69" t="inlineStr">
        <is>
          <t>STRUCTURAL NOTES — CIFR Mining Wind-Down</t>
        </is>
      </c>
    </row>
    <row r="82" ht="28" customHeight="1">
      <c r="A82" s="70" t="inlineStr">
        <is>
          <t>Wind-down timeline:</t>
        </is>
      </c>
      <c r="B82" s="71" t="inlineStr">
        <is>
          <t>Odessa TX PPA expires ~Jul 2027. Tyler Page: 'operational site that could run till end of July 2027.' Mining will be fully exited by 2028 at the latest (possibly converted to HPC campus).</t>
        </is>
      </c>
    </row>
    <row r="83" ht="28" customHeight="1">
      <c r="A83" s="70" t="inlineStr">
        <is>
          <t>Terminal value:</t>
        </is>
      </c>
      <c r="B83" s="71" t="inlineStr">
        <is>
          <t>$0. This is a finite-cash-flow DCF, not a going-concern model. Sum of PV(FY2026 FCF) + PV(FY2027 FCF) only. No residual mining franchise value.</t>
        </is>
      </c>
    </row>
    <row r="84" ht="28" customHeight="1">
      <c r="A84" s="70" t="inlineStr">
        <is>
          <t>FY2027 treatment:</t>
        </is>
      </c>
      <c r="B84" s="71" t="inlineStr">
        <is>
          <t>5.8 EH/s effective installed hashrate = half-year average (Jan–Jun 2027 mining, then shutdown). Revenue, costs, EBITDA, FCF all reflect ~6 months only.</t>
        </is>
      </c>
    </row>
    <row r="85" ht="28" customHeight="1">
      <c r="A85" s="70" t="inlineStr">
        <is>
          <t>NOL carryforward:</t>
        </is>
      </c>
      <c r="B85" s="71" t="inlineStr">
        <is>
          <t>CIFR has significant NOL carryforwards → effective cash tax rate on mining income is ~0% near-term. Conservative 0% used vs. 21% statutory.</t>
        </is>
      </c>
    </row>
    <row r="86" ht="28" customHeight="1">
      <c r="A86" s="70" t="inlineStr">
        <is>
          <t>HPC/AI is the main story:</t>
        </is>
      </c>
      <c r="B86" s="71" t="inlineStr">
        <is>
          <t>This mining model is a minor SOTP building block. Primary value is $11.4B contracted HPC rev (Barber Lake + Black Pearl + Stingray) generating ~$787mm avg NOI/yr from 2026-2036.</t>
        </is>
      </c>
    </row>
    <row r="87" ht="28" customHeight="1">
      <c r="A87" s="70" t="inlineStr">
        <is>
          <t>EBITDA margin validation:</t>
        </is>
      </c>
      <c r="B87" s="71" t="inlineStr">
        <is>
          <t>Q1 confirmed: $17mm EBITDA on $35mm rev = 48.6% margin. Annualized: ~$68mm EBITDA. Margin reflects extremely competitive $28/MWh PPA.</t>
        </is>
      </c>
    </row>
  </sheetData>
  <mergeCells count="24">
    <mergeCell ref="B84:H84"/>
    <mergeCell ref="D69:H69"/>
    <mergeCell ref="B83:H83"/>
    <mergeCell ref="A1:H1"/>
    <mergeCell ref="B85:H85"/>
    <mergeCell ref="D77:H77"/>
    <mergeCell ref="D76:H76"/>
    <mergeCell ref="A66:H66"/>
    <mergeCell ref="D70:H70"/>
    <mergeCell ref="D75:H75"/>
    <mergeCell ref="A3:H3"/>
    <mergeCell ref="D72:H72"/>
    <mergeCell ref="A2:H2"/>
    <mergeCell ref="D78:H78"/>
    <mergeCell ref="B86:H86"/>
    <mergeCell ref="D71:H71"/>
    <mergeCell ref="D74:H74"/>
    <mergeCell ref="D68:H68"/>
    <mergeCell ref="D73:H73"/>
    <mergeCell ref="A81:H81"/>
    <mergeCell ref="B82:H82"/>
    <mergeCell ref="D67:H67"/>
    <mergeCell ref="B87:H87"/>
    <mergeCell ref="D79:H79"/>
  </mergeCells>
  <conditionalFormatting sqref="C69:I7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2026-06-27T04:48:45Z</dcterms:created>
  <dcterms:modified xsi:type="dcterms:W3CDTF">2026-06-27T09:08:17Z</dcterms:modified>
  <cp:lastModifiedBy>Jihyun Song</cp:lastModifiedBy>
</cp:coreProperties>
</file>